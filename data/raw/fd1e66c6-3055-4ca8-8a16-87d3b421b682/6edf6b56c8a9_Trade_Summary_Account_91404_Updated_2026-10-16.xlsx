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Daily Summary" sheetId="2" state="visible" r:id="rId4"/>
    <sheet name="MTD Summary" sheetId="3" state="visible" r:id="rId5"/>
    <sheet name="QTD Summary" sheetId="4" state="visible" r:id="rId6"/>
    <sheet name="YTD Summary" sheetId="5" state="visible" r:id="rId7"/>
    <sheet name="Monthly Summary" sheetId="6" state="visible" r:id="rId8"/>
    <sheet name="Yearly Summary" sheetId="7" state="visible" r:id="rId9"/>
    <sheet name="Symbol Performance" sheetId="8" state="visible" r:id="rId10"/>
    <sheet name="Daily Trade Summary" sheetId="9" state="visible" r:id="rId11"/>
    <sheet name="Settings" sheetId="10" state="visible" r:id="rId12"/>
  </sheets>
  <definedNames>
    <definedName function="false" hidden="true" localSheetId="5" name="_xlnm._FilterDatabase" vbProcedure="false">'Monthly Summary'!$A$4:$P$7</definedName>
    <definedName function="false" hidden="true" localSheetId="7" name="_xlnm._FilterDatabase" vbProcedure="false">'Symbol Performance'!$A$4:$J$61</definedName>
    <definedName function="false" hidden="true" localSheetId="6" name="_xlnm._FilterDatabase" vbProcedure="false">'Yearly Summary'!$A$4:$P$5</definedName>
    <definedName function="false" hidden="false" name="Comm_Slab1_Paisa" vbProcedure="false">Settings!$B$6</definedName>
    <definedName function="false" hidden="false" name="Comm_Slab1_Upper" vbProcedure="false">Settings!$B$5</definedName>
    <definedName function="false" hidden="false" name="Comm_Slab2_Rate" vbProcedure="false">Settings!$B$8</definedName>
    <definedName function="false" hidden="false" name="Comm_Slab2_Start" vbProcedure="false">Settings!$B$7</definedName>
    <definedName function="false" hidden="false" name="Paisa_Per_PKR" vbProcedure="false">Settings!$B$10</definedName>
    <definedName function="false" hidden="false" name="SST_Rate" vbProcedure="false">Settings!$B$9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<sst xmlns="http://schemas.openxmlformats.org/spreadsheetml/2006/main" count="2014" uniqueCount="256">
  <si>
    <t xml:space="preserve">Trading Performance Dashboard</t>
  </si>
  <si>
    <t xml:space="preserve">Account 91404 (THM00601) • Market FUT, Reg • Currency PKR • Generated 16-Oct-2026 11:35</t>
  </si>
  <si>
    <t xml:space="preserve">Latest Trading Day:</t>
  </si>
  <si>
    <t xml:space="preserve">LATEST TRADING DAY</t>
  </si>
  <si>
    <t xml:space="preserve">PERFORMANCE SNAPSHOT</t>
  </si>
  <si>
    <t xml:space="preserve">Buy Value</t>
  </si>
  <si>
    <t xml:space="preserve">Period</t>
  </si>
  <si>
    <t xml:space="preserve">Net P&amp;L (PKR)</t>
  </si>
  <si>
    <t xml:space="preserve">Return on Buy</t>
  </si>
  <si>
    <t xml:space="preserve">Sell Value</t>
  </si>
  <si>
    <t xml:space="preserve">MTD (Oct 2026)</t>
  </si>
  <si>
    <t xml:space="preserve">Gross P&amp;L</t>
  </si>
  <si>
    <t xml:space="preserve">QTD (Q4 2026)</t>
  </si>
  <si>
    <t xml:space="preserve">Commission</t>
  </si>
  <si>
    <t xml:space="preserve">YTD (2026)</t>
  </si>
  <si>
    <t xml:space="preserve">SST (13%)</t>
  </si>
  <si>
    <t xml:space="preserve">Net P&amp;L</t>
  </si>
  <si>
    <t xml:space="preserve">ACTIVITY — ALL IMPORTED DATA</t>
  </si>
  <si>
    <t xml:space="preserve">Total Traded Volume (PKR)</t>
  </si>
  <si>
    <t xml:space="preserve">Executions</t>
  </si>
  <si>
    <t xml:space="preserve">Symbols</t>
  </si>
  <si>
    <t xml:space="preserve">Trading Days</t>
  </si>
  <si>
    <t xml:space="preserve">BEST / WORST SYMBOL (Net P&amp;L, all dates)</t>
  </si>
  <si>
    <t xml:space="preserve">Best Symbol</t>
  </si>
  <si>
    <t xml:space="preserve">Worst Symbol</t>
  </si>
  <si>
    <t xml:space="preserve">• Methodology: Gross P&amp;L = Sell Value − Buy Value (intraday buy/sell flow; Short Sell counts as SELL).</t>
  </si>
  <si>
    <t xml:space="preserve">• Commission is sell-side only: sell rate &lt; 54 → 0.0175 paisa/share;  ≥ 54 → 0.0325% of sell value. SST = 13% of commission.</t>
  </si>
  <si>
    <t xml:space="preserve">• Net P&amp;L = Gross P&amp;L − Commission − SST.  Return on Buy = Net P&amp;L ÷ Buy Value (recomputed from totals, never averaged).</t>
  </si>
  <si>
    <t xml:space="preserve">• Position status through 16-Oct-2026: all symbols flat (net quantity 0) on every trading day.</t>
  </si>
  <si>
    <t xml:space="preserve">• This is a flow-based summary, not FIFO/average-cost realized-position accounting. See the Settings sheet.</t>
  </si>
  <si>
    <t xml:space="preserve">Daily Summary</t>
  </si>
  <si>
    <t xml:space="preserve">One row per trading date — linked live to the Daily Trade Summary blocks.</t>
  </si>
  <si>
    <t xml:space="preserve">Date</t>
  </si>
  <si>
    <t xml:space="preserve">Buy Qty</t>
  </si>
  <si>
    <t xml:space="preserve">Sell Qty</t>
  </si>
  <si>
    <t xml:space="preserve">Net Qty</t>
  </si>
  <si>
    <t xml:space="preserve">Buy Value (PKR)</t>
  </si>
  <si>
    <t xml:space="preserve">Sell Value (PKR)</t>
  </si>
  <si>
    <t xml:space="preserve">Gross P&amp;L (PKR)</t>
  </si>
  <si>
    <t xml:space="preserve">Commission (PKR)</t>
  </si>
  <si>
    <t xml:space="preserve">SST (PKR)</t>
  </si>
  <si>
    <t xml:space="preserve">Total Charges (PKR)</t>
  </si>
  <si>
    <t xml:space="preserve">TOTAL</t>
  </si>
  <si>
    <t xml:space="preserve">Month-to-Date — October 2026</t>
  </si>
  <si>
    <t xml:space="preserve">Live SUMIFS over the Daily Summary, bounded by the period dates below.</t>
  </si>
  <si>
    <t xml:space="preserve">Period Start (calendar):</t>
  </si>
  <si>
    <t xml:space="preserve">Period End (latest trade):</t>
  </si>
  <si>
    <t xml:space="preserve">First Trading Day in Period:</t>
  </si>
  <si>
    <t xml:space="preserve">Trading Days:</t>
  </si>
  <si>
    <t xml:space="preserve">Metric</t>
  </si>
  <si>
    <t xml:space="preserve">Value</t>
  </si>
  <si>
    <t xml:space="preserve">Buy Quantity</t>
  </si>
  <si>
    <t xml:space="preserve">Sell Quantity</t>
  </si>
  <si>
    <t xml:space="preserve">Net Quantity</t>
  </si>
  <si>
    <t xml:space="preserve">Date-by-Date Breakdown</t>
  </si>
  <si>
    <t xml:space="preserve">Quarter-to-Date — Q4 2026 (Oct–Dec)</t>
  </si>
  <si>
    <t xml:space="preserve">Year-to-Date — 2026</t>
  </si>
  <si>
    <t xml:space="preserve">Monthly Summary — Month-Wise Performance</t>
  </si>
  <si>
    <t xml:space="preserve">One row per calendar month with trading data, oldest → newest. Live SUMIFS over the Daily Summary.</t>
  </si>
  <si>
    <t xml:space="preserve">Month</t>
  </si>
  <si>
    <t xml:space="preserve">Avg Buy Price</t>
  </si>
  <si>
    <t xml:space="preserve">Avg Sell Price</t>
  </si>
  <si>
    <t xml:space="preserve">Price Diff (Sell−Buy)</t>
  </si>
  <si>
    <t xml:space="preserve">Commission Rate (Slab)</t>
  </si>
  <si>
    <t xml:space="preserve">SST 13% (PKR)</t>
  </si>
  <si>
    <t xml:space="preserve">Note: all figures accumulate the underlying execution history for the whole period (weighted averages from totals; Return on Buy = Net P&amp;L ÷ Buy Value, never averaged). Commission is accumulated per execution; the slab label reflects the period's weighted-average sell rate.</t>
  </si>
  <si>
    <t xml:space="preserve">Yearly Summary — Year-Wise Performance</t>
  </si>
  <si>
    <t xml:space="preserve">One row per calendar year with trading data, oldest → newest. Live SUMIFS over the Daily Summary.</t>
  </si>
  <si>
    <t xml:space="preserve">Year</t>
  </si>
  <si>
    <t xml:space="preserve">Symbol Performance — All Trading Dates</t>
  </si>
  <si>
    <t xml:space="preserve">Aggregated across the full imported history (live SUMIF over the Daily Trade Summary), sorted by Net P&amp;L.</t>
  </si>
  <si>
    <t xml:space="preserve">Symbol</t>
  </si>
  <si>
    <t xml:space="preserve">PRL-AUG</t>
  </si>
  <si>
    <t xml:space="preserve">◄ Best performer</t>
  </si>
  <si>
    <t xml:space="preserve">PRL-SEP</t>
  </si>
  <si>
    <t xml:space="preserve">PRL</t>
  </si>
  <si>
    <t xml:space="preserve">NRL-AUG</t>
  </si>
  <si>
    <t xml:space="preserve">PPL-AUG</t>
  </si>
  <si>
    <t xml:space="preserve">NRL-SEP</t>
  </si>
  <si>
    <t xml:space="preserve">PRL-OCT</t>
  </si>
  <si>
    <t xml:space="preserve">NRL-OCT</t>
  </si>
  <si>
    <t xml:space="preserve">FCCL-OCTB</t>
  </si>
  <si>
    <t xml:space="preserve">PTC-OCT</t>
  </si>
  <si>
    <t xml:space="preserve">PPL-OCTB</t>
  </si>
  <si>
    <t xml:space="preserve">PSO-OCT</t>
  </si>
  <si>
    <t xml:space="preserve">DGKC-SEP</t>
  </si>
  <si>
    <t xml:space="preserve">ATRL-OCTB</t>
  </si>
  <si>
    <t xml:space="preserve">PPL-SEP</t>
  </si>
  <si>
    <t xml:space="preserve">PSO-SEP</t>
  </si>
  <si>
    <t xml:space="preserve">DGKC-AUG</t>
  </si>
  <si>
    <t xml:space="preserve">NPL</t>
  </si>
  <si>
    <t xml:space="preserve">MDTL-SEP</t>
  </si>
  <si>
    <t xml:space="preserve">OGDC</t>
  </si>
  <si>
    <t xml:space="preserve">DGKC</t>
  </si>
  <si>
    <t xml:space="preserve">DGKC-OCT</t>
  </si>
  <si>
    <t xml:space="preserve">ATRL-SEP</t>
  </si>
  <si>
    <t xml:space="preserve">NCPL-SEP</t>
  </si>
  <si>
    <t xml:space="preserve">GAL-OCTB</t>
  </si>
  <si>
    <t xml:space="preserve">KOHTM</t>
  </si>
  <si>
    <t xml:space="preserve">NPL-SEP</t>
  </si>
  <si>
    <t xml:space="preserve">PPL-OCT</t>
  </si>
  <si>
    <t xml:space="preserve">PSO-OCTB</t>
  </si>
  <si>
    <t xml:space="preserve">SSGC-AUG</t>
  </si>
  <si>
    <t xml:space="preserve">MLCF</t>
  </si>
  <si>
    <t xml:space="preserve">PSO</t>
  </si>
  <si>
    <t xml:space="preserve">MLCF-SEP</t>
  </si>
  <si>
    <t xml:space="preserve">THCCL</t>
  </si>
  <si>
    <t xml:space="preserve">PSO-AUG</t>
  </si>
  <si>
    <t xml:space="preserve">TREET-OCT</t>
  </si>
  <si>
    <t xml:space="preserve">PIOC-SEP</t>
  </si>
  <si>
    <t xml:space="preserve">NML-AUG</t>
  </si>
  <si>
    <t xml:space="preserve">MLCF-OCT</t>
  </si>
  <si>
    <t xml:space="preserve">BOP-AUG</t>
  </si>
  <si>
    <t xml:space="preserve">THCCL-SEP</t>
  </si>
  <si>
    <t xml:space="preserve">ASL-SEP</t>
  </si>
  <si>
    <t xml:space="preserve">PPL</t>
  </si>
  <si>
    <t xml:space="preserve">TRG-OCT</t>
  </si>
  <si>
    <t xml:space="preserve">GCIL-OCT</t>
  </si>
  <si>
    <t xml:space="preserve">THCCL-OCT</t>
  </si>
  <si>
    <t xml:space="preserve">SEARL</t>
  </si>
  <si>
    <t xml:space="preserve">NCPL</t>
  </si>
  <si>
    <t xml:space="preserve">NRL</t>
  </si>
  <si>
    <t xml:space="preserve">GAL</t>
  </si>
  <si>
    <t xml:space="preserve">LUCK-SEP</t>
  </si>
  <si>
    <t xml:space="preserve">OGDC-AUG</t>
  </si>
  <si>
    <t xml:space="preserve">OGDC-SEP</t>
  </si>
  <si>
    <t xml:space="preserve">NBP-SEP</t>
  </si>
  <si>
    <t xml:space="preserve">NBP-AUG</t>
  </si>
  <si>
    <t xml:space="preserve">GAL-SEP</t>
  </si>
  <si>
    <t xml:space="preserve">OGDC-OCTB</t>
  </si>
  <si>
    <t xml:space="preserve">◄ Worst performer</t>
  </si>
  <si>
    <t xml:space="preserve">Daily Trade Summary — 17 Aug 2026</t>
  </si>
  <si>
    <t xml:space="preserve">Gross intraday buy/sell flow • commission &amp; SST • net P&amp;L  (all values PKR)</t>
  </si>
  <si>
    <t xml:space="preserve">Day Results</t>
  </si>
  <si>
    <t xml:space="preserve">Trading Date:</t>
  </si>
  <si>
    <t xml:space="preserve">Total Buy Value</t>
  </si>
  <si>
    <t xml:space="preserve">Account:</t>
  </si>
  <si>
    <t xml:space="preserve">THM00601  (A/c 91404)</t>
  </si>
  <si>
    <t xml:space="preserve">Total Sell Value</t>
  </si>
  <si>
    <t xml:space="preserve">Market:</t>
  </si>
  <si>
    <t xml:space="preserve">FUT (futures/derivatives)</t>
  </si>
  <si>
    <t xml:space="preserve">Trading Session:</t>
  </si>
  <si>
    <t xml:space="preserve">Full day 00:00–23:59 (per source log)</t>
  </si>
  <si>
    <t xml:space="preserve">Currency:</t>
  </si>
  <si>
    <t xml:space="preserve">PKR</t>
  </si>
  <si>
    <t xml:space="preserve">Source File:</t>
  </si>
  <si>
    <t xml:space="preserve">TradeLog-17-08-2026.txt</t>
  </si>
  <si>
    <t xml:space="preserve">Total Charges</t>
  </si>
  <si>
    <t xml:space="preserve">Net Position (shares)</t>
  </si>
  <si>
    <t xml:space="preserve">Symbol-Level Summary</t>
  </si>
  <si>
    <t xml:space="preserve">Daily Trade Summary — 18 Aug 2026</t>
  </si>
  <si>
    <t xml:space="preserve">FUT (futures/derivatives), Reg (regular/cash market)</t>
  </si>
  <si>
    <t xml:space="preserve">TradeLog-18-08-2026.txt</t>
  </si>
  <si>
    <t xml:space="preserve">Daily Trade Summary — 19 Aug 2026</t>
  </si>
  <si>
    <t xml:space="preserve">TradeLog-19-08-2026.txt</t>
  </si>
  <si>
    <t xml:space="preserve">Daily Trade Summary — 20 Aug 2026</t>
  </si>
  <si>
    <t xml:space="preserve">TradeLog-20-08-2026.txt</t>
  </si>
  <si>
    <t xml:space="preserve">Daily Trade Summary — 21 Aug 2026</t>
  </si>
  <si>
    <t xml:space="preserve">TradeLog-21-08-2026.txt</t>
  </si>
  <si>
    <t xml:space="preserve">Daily Trade Summary — 24 Aug 2026</t>
  </si>
  <si>
    <t xml:space="preserve">TradeLog-24-08-2026.txt</t>
  </si>
  <si>
    <t xml:space="preserve">Daily Trade Summary — 27 Aug 2026</t>
  </si>
  <si>
    <t xml:space="preserve">TradeLog-27-08-2026.txt</t>
  </si>
  <si>
    <t xml:space="preserve">Daily Trade Summary — 31 Aug 2026</t>
  </si>
  <si>
    <t xml:space="preserve">TradeLog-31-08-2026.txt</t>
  </si>
  <si>
    <t xml:space="preserve">Daily Trade Summary — 01 Sep 2026</t>
  </si>
  <si>
    <t xml:space="preserve">TradeLog-01-09-2026.txt</t>
  </si>
  <si>
    <t xml:space="preserve">Daily Trade Summary — 02 Sep 2026</t>
  </si>
  <si>
    <t xml:space="preserve">TradeLog-02-09-2026.txt</t>
  </si>
  <si>
    <t xml:space="preserve">Daily Trade Summary — 03 Sep 2026</t>
  </si>
  <si>
    <t xml:space="preserve">TradeLog-03-09-2026.txt</t>
  </si>
  <si>
    <t xml:space="preserve">Daily Trade Summary — 04 Sep 2026</t>
  </si>
  <si>
    <t xml:space="preserve">TradeLog-04-09-2026.txt</t>
  </si>
  <si>
    <t xml:space="preserve">Daily Trade Summary — 07 Sep 2026</t>
  </si>
  <si>
    <t xml:space="preserve">TradeLog-07-09-2026_ALL.txt</t>
  </si>
  <si>
    <t xml:space="preserve">Daily Trade Summary — 08 Sep 2026</t>
  </si>
  <si>
    <t xml:space="preserve">TradeLog-08-09-2026_ALL.txt</t>
  </si>
  <si>
    <t xml:space="preserve">Daily Trade Summary — 09 Sep 2026</t>
  </si>
  <si>
    <t xml:space="preserve">TradeLog-09-09-2026_ALL.txt</t>
  </si>
  <si>
    <t xml:space="preserve">Daily Trade Summary — 10 Sep 2026</t>
  </si>
  <si>
    <t xml:space="preserve">TradeLog-10-09-2026_ALL.txt</t>
  </si>
  <si>
    <t xml:space="preserve">Daily Trade Summary — 11 Sep 2026</t>
  </si>
  <si>
    <t xml:space="preserve">TradeLog-11-09-2026_ALL.txt</t>
  </si>
  <si>
    <t xml:space="preserve">Daily Trade Summary — 14 Sep 2026</t>
  </si>
  <si>
    <t xml:space="preserve">TradeLog-14-09-2026_ALL.txt</t>
  </si>
  <si>
    <t xml:space="preserve">Daily Trade Summary — 15 Sep 2026</t>
  </si>
  <si>
    <t xml:space="preserve">TradeLog-15-09-2026_ALL.txt</t>
  </si>
  <si>
    <t xml:space="preserve">Daily Trade Summary — 16 Sep 2026</t>
  </si>
  <si>
    <t xml:space="preserve">TradeLog-16-09-2026_ALL.txt</t>
  </si>
  <si>
    <t xml:space="preserve">Daily Trade Summary — 17 Sep 2026</t>
  </si>
  <si>
    <t xml:space="preserve">TradeLog-17-09-2026_ALL.txt</t>
  </si>
  <si>
    <t xml:space="preserve">Daily Trade Summary — 18 Sep 2026</t>
  </si>
  <si>
    <t xml:space="preserve">TradeLog-18-09-2026_ALL.txt</t>
  </si>
  <si>
    <t xml:space="preserve">Daily Trade Summary — 28 Sep 2026</t>
  </si>
  <si>
    <t xml:space="preserve">TradeLog-28-09-2026_ALL.txt</t>
  </si>
  <si>
    <t xml:space="preserve">Daily Trade Summary — 29 Sep 2026</t>
  </si>
  <si>
    <t xml:space="preserve">TradeLog-29-09-2026_ALL.txt</t>
  </si>
  <si>
    <t xml:space="preserve">Daily Trade Summary — 30 Sep 2026</t>
  </si>
  <si>
    <t xml:space="preserve">TradeLog-30-09-2026_ALL.txt</t>
  </si>
  <si>
    <t xml:space="preserve">Daily Trade Summary — 01 Oct 2026</t>
  </si>
  <si>
    <t xml:space="preserve">TradeLog-01-10-2026_ALL.txt</t>
  </si>
  <si>
    <t xml:space="preserve">Daily Trade Summary — 02 Oct 2026</t>
  </si>
  <si>
    <t xml:space="preserve">TradeLog-02-10-2026_ALL.txt</t>
  </si>
  <si>
    <t xml:space="preserve">Daily Trade Summary — 05 Oct 2026</t>
  </si>
  <si>
    <t xml:space="preserve">TradeLog-05-10-2026_ALL.txt</t>
  </si>
  <si>
    <t xml:space="preserve">Daily Trade Summary — 06 Oct 2026</t>
  </si>
  <si>
    <t xml:space="preserve">TradeLog-06-10-2026_ALL.txt</t>
  </si>
  <si>
    <t xml:space="preserve">Daily Trade Summary — 07 Oct 2026</t>
  </si>
  <si>
    <t xml:space="preserve">TradeLog-07-10-2026_ALL.txt</t>
  </si>
  <si>
    <t xml:space="preserve">Daily Trade Summary — 08 Oct 2026</t>
  </si>
  <si>
    <t xml:space="preserve">TradeLog-08-10-2026_ALL.txt</t>
  </si>
  <si>
    <t xml:space="preserve">Daily Trade Summary — 09 Oct 2026</t>
  </si>
  <si>
    <t xml:space="preserve">TradeLog-09-10-2026_ALL.txt</t>
  </si>
  <si>
    <t xml:space="preserve">Daily Trade Summary — 12 Oct 2026</t>
  </si>
  <si>
    <t xml:space="preserve">TradeLog-12-10-2026_ALL.txt</t>
  </si>
  <si>
    <t xml:space="preserve">Daily Trade Summary — 13 Oct 2026</t>
  </si>
  <si>
    <t xml:space="preserve">TradeLog-13-10-2026_ALL.txt</t>
  </si>
  <si>
    <t xml:space="preserve">Daily Trade Summary — 15 Oct 2026</t>
  </si>
  <si>
    <t xml:space="preserve">TradeLog-15-10-2026_ALL.txt</t>
  </si>
  <si>
    <t xml:space="preserve">Daily Trade Summary — 16 Oct 2026</t>
  </si>
  <si>
    <t xml:space="preserve">TradeLog-16-10-2026_ALL.txt</t>
  </si>
  <si>
    <t xml:space="preserve">Settings &amp; Assumptions</t>
  </si>
  <si>
    <t xml:space="preserve">All commission/tax formulas in this workbook reference these cells (defined names).</t>
  </si>
  <si>
    <t xml:space="preserve">Setting</t>
  </si>
  <si>
    <t xml:space="preserve">Notes</t>
  </si>
  <si>
    <t xml:space="preserve">Commission Slab 1 Upper Rate</t>
  </si>
  <si>
    <t xml:space="preserve">Sell rate 0.00000 – 53.99999 → Slab 1 (sell-side only)</t>
  </si>
  <si>
    <t xml:space="preserve">Commission Slab 1 Rate</t>
  </si>
  <si>
    <t xml:space="preserve">0.0175 paisa per share  →  PKR = Sell Qty × 0.0175 / 100</t>
  </si>
  <si>
    <t xml:space="preserve">Commission Slab 2 Starting Rate</t>
  </si>
  <si>
    <t xml:space="preserve">Sell rate ≥ 54.00000 → Slab 2</t>
  </si>
  <si>
    <t xml:space="preserve">Commission Slab 2 Rate</t>
  </si>
  <si>
    <t xml:space="preserve">0.0325% of sell value (fraction = 0.000325)</t>
  </si>
  <si>
    <t xml:space="preserve">SST Rate</t>
  </si>
  <si>
    <t xml:space="preserve">13% of commission amount</t>
  </si>
  <si>
    <t xml:space="preserve">Paisa per PKR</t>
  </si>
  <si>
    <t xml:space="preserve">100 paisa = 1 PKR</t>
  </si>
  <si>
    <t xml:space="preserve">Currency</t>
  </si>
  <si>
    <t xml:space="preserve">All monetary values in Pakistani Rupees</t>
  </si>
  <si>
    <t xml:space="preserve">Commission Side</t>
  </si>
  <si>
    <t xml:space="preserve">Sell</t>
  </si>
  <si>
    <t xml:space="preserve">Commission is charged on the SELL side only (Sell + Short Sell)</t>
  </si>
  <si>
    <t xml:space="preserve">Methodology &amp; Rules</t>
  </si>
  <si>
    <t xml:space="preserve">1. Trade types: Buy = BUY.  Sell = SELL.  Short Sell = SELL (gross buy/sell flow treatment).</t>
  </si>
  <si>
    <t xml:space="preserve">2. Gross P&amp;L = Sell Value − Buy Value (intraday buy/sell FLOW calculation — not FIFO/average-cost accounting).</t>
  </si>
  <si>
    <t xml:space="preserve">3. Avg Buy / Avg Sell prices are quantity-weighted: Total Value ÷ Total Quantity (never a simple average).</t>
  </si>
  <si>
    <t xml:space="preserve">4. Commission, sell side only. The slab is selected by the sell rate; at symbol-summary level the</t>
  </si>
  <si>
    <t xml:space="preserve">    quantity-weighted average sell rate of the symbol-day decides the slab for that whole day</t>
  </si>
  <si>
    <t xml:space="preserve">    (if a day's fills straddle the 54 boundary, the weighted-average rate decides).</t>
  </si>
  <si>
    <t xml:space="preserve">5. Slab 1 commission = Sell Qty × 0.0175 paisa / 100 (0.000175 PKR/share).  Slab 2 = Sell Value × 0.0325%.</t>
  </si>
  <si>
    <t xml:space="preserve">6. SST = 13% × Commission.  Total Charges = Commission + SST.  Net P&amp;L = Gross P&amp;L − Total Charges.</t>
  </si>
  <si>
    <t xml:space="preserve">7. Return on Buy = Net P&amp;L ÷ Buy Value. Period returns are recomputed from period totals (never averaged).</t>
  </si>
  <si>
    <t xml:space="preserve">8. Executions are deduplicated by Trading Date + Execution ID before summarization (re-uploads change nothing).</t>
  </si>
  <si>
    <t xml:space="preserve">9. One combined 'Daily Trade Summary' sheet holds one block per trading date, newest appended below.</t>
  </si>
  <si>
    <t xml:space="preserve">10. Account isolation: this workbook belongs exclusively to ONE trading account. Incoming files are</t>
  </si>
  <si>
    <t xml:space="preserve">    segregated by account number before import; executions from other accounts never enter this workbook.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</si>
</sst>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-mmm\-yyyy"/>
    <numFmt numFmtId="166" formatCode="#,##0.00"/>
    <numFmt numFmtId="167" formatCode="0.000%"/>
    <numFmt numFmtId="168" formatCode="#,##0"/>
    <numFmt numFmtId="169" formatCode="mmm\-yyyy"/>
    <numFmt numFmtId="170" formatCode="0"/>
    <numFmt numFmtId="171" formatCode="0.0000"/>
    <numFmt numFmtId="172" formatCode="0.000000"/>
    <numFmt numFmtId="173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333333"/>
      <name val="Calibri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008000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sz val="9"/>
      <color rgb="FF595959"/>
      <name val="Cambria"/>
      <family val="0"/>
      <charset val="1"/>
    </font>
    <font>
      <b val="true"/>
      <sz val="10"/>
      <color rgb="FF1F4E78"/>
      <name val="Calibri"/>
      <family val="0"/>
      <charset val="1"/>
    </font>
    <font>
      <sz val="10"/>
      <color rgb="FF40404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1F4E78"/>
      </top>
      <bottom style="double">
        <color rgb="FF1F4E7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b val="1"/>
        <color rgb="FF008000"/>
      </font>
    </dxf>
    <dxf>
      <font>
        <b val="1"/>
        <color rgb="FFC00000"/>
      </font>
    </dxf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40404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3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MAX('Daily Summary'!$A$5:$A$404)</f>
        <v>46311</v>
      </c>
    </row>
    <row r="6" customFormat="false" ht="15" hidden="false" customHeight="false" outlineLevel="0" collapsed="false">
      <c r="A6" s="5" t="s">
        <v>3</v>
      </c>
      <c r="B6" s="5"/>
      <c r="D6" s="5" t="s">
        <v>4</v>
      </c>
      <c r="E6" s="5"/>
      <c r="F6" s="5"/>
    </row>
    <row r="7" customFormat="false" ht="15" hidden="false" customHeight="false" outlineLevel="0" collapsed="false">
      <c r="A7" s="6" t="s">
        <v>5</v>
      </c>
      <c r="B7" s="7" t="n">
        <f aca="false">'Daily Summary'!E40</f>
        <v>4845060</v>
      </c>
      <c r="D7" s="8" t="s">
        <v>6</v>
      </c>
      <c r="E7" s="8" t="s">
        <v>7</v>
      </c>
      <c r="F7" s="8" t="s">
        <v>8</v>
      </c>
    </row>
    <row r="8" customFormat="false" ht="15" hidden="false" customHeight="false" outlineLevel="0" collapsed="false">
      <c r="A8" s="6" t="s">
        <v>9</v>
      </c>
      <c r="B8" s="7" t="n">
        <f aca="false">'Daily Summary'!F40</f>
        <v>4855610</v>
      </c>
      <c r="D8" s="6" t="s">
        <v>10</v>
      </c>
      <c r="E8" s="9" t="n">
        <f aca="false">'MTD Summary'!$B$19</f>
        <v>39790.6357092424</v>
      </c>
      <c r="F8" s="10" t="n">
        <f aca="false">'MTD Summary'!$B$20</f>
        <v>0.000354707321263822</v>
      </c>
    </row>
    <row r="9" customFormat="false" ht="15" hidden="false" customHeight="false" outlineLevel="0" collapsed="false">
      <c r="A9" s="6" t="s">
        <v>11</v>
      </c>
      <c r="B9" s="7" t="n">
        <f aca="false">'Daily Summary'!G40</f>
        <v>10550</v>
      </c>
      <c r="D9" s="6" t="s">
        <v>12</v>
      </c>
      <c r="E9" s="9" t="n">
        <f aca="false">'QTD Summary'!$B$19</f>
        <v>39790.6357092424</v>
      </c>
      <c r="F9" s="10" t="n">
        <f aca="false">'QTD Summary'!$B$20</f>
        <v>0.000354707321263822</v>
      </c>
    </row>
    <row r="10" customFormat="false" ht="15" hidden="false" customHeight="false" outlineLevel="0" collapsed="false">
      <c r="A10" s="6" t="s">
        <v>13</v>
      </c>
      <c r="B10" s="7" t="n">
        <f aca="false">'Daily Summary'!H40</f>
        <v>1578.07325</v>
      </c>
      <c r="D10" s="6" t="s">
        <v>14</v>
      </c>
      <c r="E10" s="9" t="n">
        <f aca="false">'YTD Summary'!$B$19</f>
        <v>193263.610933154</v>
      </c>
      <c r="F10" s="10" t="n">
        <f aca="false">'YTD Summary'!$B$20</f>
        <v>0.000479287144621816</v>
      </c>
    </row>
    <row r="11" customFormat="false" ht="15" hidden="false" customHeight="false" outlineLevel="0" collapsed="false">
      <c r="A11" s="6" t="s">
        <v>15</v>
      </c>
      <c r="B11" s="7" t="n">
        <f aca="false">'Daily Summary'!I40</f>
        <v>205.1495225</v>
      </c>
    </row>
    <row r="12" customFormat="false" ht="15" hidden="false" customHeight="false" outlineLevel="0" collapsed="false">
      <c r="A12" s="6" t="s">
        <v>16</v>
      </c>
      <c r="B12" s="7" t="n">
        <f aca="false">'Daily Summary'!K40</f>
        <v>8766.7772275</v>
      </c>
      <c r="D12" s="5" t="s">
        <v>17</v>
      </c>
      <c r="E12" s="5"/>
      <c r="F12" s="5"/>
    </row>
    <row r="13" customFormat="false" ht="15" hidden="false" customHeight="false" outlineLevel="0" collapsed="false">
      <c r="A13" s="6" t="s">
        <v>8</v>
      </c>
      <c r="B13" s="11" t="n">
        <f aca="false">'Daily Summary'!L40</f>
        <v>0.00180942593641771</v>
      </c>
      <c r="D13" s="6" t="s">
        <v>18</v>
      </c>
      <c r="E13" s="7" t="n">
        <f aca="false">'Daily Summary'!$E$41+'Daily Summary'!$F$41</f>
        <v>806802109.9</v>
      </c>
      <c r="F13" s="7"/>
    </row>
    <row r="14" customFormat="false" ht="15" hidden="false" customHeight="false" outlineLevel="0" collapsed="false">
      <c r="D14" s="6" t="s">
        <v>19</v>
      </c>
      <c r="E14" s="12" t="n">
        <v>2742</v>
      </c>
      <c r="F14" s="12"/>
    </row>
    <row r="15" customFormat="false" ht="15" hidden="false" customHeight="false" outlineLevel="0" collapsed="false">
      <c r="D15" s="6" t="s">
        <v>20</v>
      </c>
      <c r="E15" s="12" t="n">
        <f aca="false">COUNTA('Symbol Performance'!$A$5:$A$61)</f>
        <v>57</v>
      </c>
      <c r="F15" s="12"/>
    </row>
    <row r="16" customFormat="false" ht="15" hidden="false" customHeight="false" outlineLevel="0" collapsed="false">
      <c r="D16" s="6" t="s">
        <v>21</v>
      </c>
      <c r="E16" s="12" t="n">
        <f aca="false">COUNT('Daily Summary'!$A$5:$A$404)</f>
        <v>36</v>
      </c>
      <c r="F16" s="12"/>
    </row>
    <row r="18" customFormat="false" ht="15" hidden="false" customHeight="false" outlineLevel="0" collapsed="false">
      <c r="D18" s="5" t="s">
        <v>22</v>
      </c>
      <c r="E18" s="5"/>
      <c r="F18" s="5"/>
    </row>
    <row r="19" customFormat="false" ht="15" hidden="false" customHeight="false" outlineLevel="0" collapsed="false">
      <c r="D19" s="6" t="s">
        <v>23</v>
      </c>
      <c r="E19" s="13" t="str">
        <f aca="false">INDEX('Symbol Performance'!$A$5:$A$61,MATCH(MAX('Symbol Performance'!$I$5:$I$61),'Symbol Performance'!$I$5:$I$61,0))</f>
        <v>PRL-AUG</v>
      </c>
      <c r="F19" s="14" t="n">
        <f aca="false">MAX('Symbol Performance'!$I$5:$I$61)</f>
        <v>37651.077025</v>
      </c>
    </row>
    <row r="20" customFormat="false" ht="15" hidden="false" customHeight="false" outlineLevel="0" collapsed="false">
      <c r="D20" s="6" t="s">
        <v>24</v>
      </c>
      <c r="E20" s="15" t="str">
        <f aca="false">INDEX('Symbol Performance'!$A$5:$A$61,MATCH(MIN('Symbol Performance'!$I$5:$I$61),'Symbol Performance'!$I$5:$I$61,0))</f>
        <v>OGDC-OCTB</v>
      </c>
      <c r="F20" s="16" t="n">
        <f aca="false">MIN('Symbol Performance'!$I$5:$I$61)</f>
        <v>-3184.05842125</v>
      </c>
    </row>
    <row r="22" customFormat="false" ht="15" hidden="false" customHeight="false" outlineLevel="0" collapsed="false">
      <c r="A22" s="17" t="s">
        <v>25</v>
      </c>
      <c r="B22" s="17"/>
      <c r="C22" s="17"/>
      <c r="D22" s="17"/>
      <c r="E22" s="17"/>
      <c r="F22" s="17"/>
    </row>
    <row r="23" customFormat="false" ht="15" hidden="false" customHeight="false" outlineLevel="0" collapsed="false">
      <c r="A23" s="17" t="s">
        <v>26</v>
      </c>
      <c r="B23" s="17"/>
      <c r="C23" s="17"/>
      <c r="D23" s="17"/>
      <c r="E23" s="17"/>
      <c r="F23" s="17"/>
    </row>
    <row r="24" customFormat="false" ht="15" hidden="false" customHeight="false" outlineLevel="0" collapsed="false">
      <c r="A24" s="17" t="s">
        <v>27</v>
      </c>
      <c r="B24" s="17"/>
      <c r="C24" s="17"/>
      <c r="D24" s="17"/>
      <c r="E24" s="17"/>
      <c r="F24" s="17"/>
    </row>
    <row r="25" customFormat="false" ht="15" hidden="false" customHeight="false" outlineLevel="0" collapsed="false">
      <c r="A25" s="17" t="s">
        <v>28</v>
      </c>
      <c r="B25" s="17"/>
      <c r="C25" s="17"/>
      <c r="D25" s="17"/>
      <c r="E25" s="17"/>
      <c r="F25" s="17"/>
    </row>
    <row r="26" customFormat="false" ht="15" hidden="false" customHeight="false" outlineLevel="0" collapsed="false">
      <c r="A26" s="17" t="s">
        <v>29</v>
      </c>
      <c r="B26" s="17"/>
      <c r="C26" s="17"/>
      <c r="D26" s="17"/>
      <c r="E26" s="17"/>
      <c r="F26" s="17"/>
    </row>
  </sheetData>
  <mergeCells count="13">
    <mergeCell ref="A6:B6"/>
    <mergeCell ref="D6:F6"/>
    <mergeCell ref="D12:F12"/>
    <mergeCell ref="E13:F13"/>
    <mergeCell ref="E14:F14"/>
    <mergeCell ref="E15:F15"/>
    <mergeCell ref="E16:F16"/>
    <mergeCell ref="D18:F18"/>
    <mergeCell ref="A22:F22"/>
    <mergeCell ref="A23:F23"/>
    <mergeCell ref="A24:F24"/>
    <mergeCell ref="A25:F25"/>
    <mergeCell ref="A26:F26"/>
  </mergeCells>
  <conditionalFormatting sqref="B9:B13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E8:F10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0"/>
    <col collapsed="false" customWidth="true" hidden="false" outlineLevel="0" max="4" min="4" style="0" width="9"/>
    <col collapsed="false" customWidth="true" hidden="false" outlineLevel="0" max="6" min="5" style="0" width="16"/>
    <col collapsed="false" customWidth="true" hidden="false" outlineLevel="0" max="8" min="7" style="0" width="14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1"/>
  </cols>
  <sheetData>
    <row r="1" customFormat="false" ht="19.7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30" hidden="false" customHeight="true" outlineLevel="0" collapsed="false">
      <c r="A4" s="18" t="s">
        <v>32</v>
      </c>
      <c r="B4" s="18" t="s">
        <v>33</v>
      </c>
      <c r="C4" s="18" t="s">
        <v>34</v>
      </c>
      <c r="D4" s="18" t="s">
        <v>35</v>
      </c>
      <c r="E4" s="18" t="s">
        <v>36</v>
      </c>
      <c r="F4" s="18" t="s">
        <v>37</v>
      </c>
      <c r="G4" s="18" t="s">
        <v>38</v>
      </c>
      <c r="H4" s="18" t="s">
        <v>39</v>
      </c>
      <c r="I4" s="18" t="s">
        <v>40</v>
      </c>
      <c r="J4" s="18" t="s">
        <v>41</v>
      </c>
      <c r="K4" s="18" t="s">
        <v>7</v>
      </c>
      <c r="L4" s="18" t="s">
        <v>8</v>
      </c>
    </row>
    <row r="5" customFormat="false" ht="15" hidden="false" customHeight="false" outlineLevel="0" collapsed="false">
      <c r="A5" s="19" t="n">
        <v>46251</v>
      </c>
      <c r="B5" s="20" t="n">
        <f aca="false">'Daily Trade Summary'!B21</f>
        <v>70500</v>
      </c>
      <c r="C5" s="20" t="n">
        <f aca="false">'Daily Trade Summary'!E21</f>
        <v>70500</v>
      </c>
      <c r="D5" s="20" t="n">
        <f aca="false">'Daily Trade Summary'!I21</f>
        <v>0</v>
      </c>
      <c r="E5" s="21" t="n">
        <f aca="false">'Daily Trade Summary'!C21</f>
        <v>18267720</v>
      </c>
      <c r="F5" s="21" t="n">
        <f aca="false">'Daily Trade Summary'!F21</f>
        <v>18287930</v>
      </c>
      <c r="G5" s="21" t="n">
        <f aca="false">'Daily Trade Summary'!J21</f>
        <v>20210</v>
      </c>
      <c r="H5" s="21" t="n">
        <f aca="false">'Daily Trade Summary'!L21</f>
        <v>5943.57725</v>
      </c>
      <c r="I5" s="21" t="n">
        <f aca="false">'Daily Trade Summary'!M21</f>
        <v>772.6650425</v>
      </c>
      <c r="J5" s="21" t="n">
        <f aca="false">'Daily Trade Summary'!N21</f>
        <v>6716.2422925</v>
      </c>
      <c r="K5" s="21" t="n">
        <f aca="false">'Daily Trade Summary'!O21</f>
        <v>13493.7577075</v>
      </c>
      <c r="L5" s="22" t="n">
        <f aca="false">IF($E5=0,"",$K5/$E5)</f>
        <v>0.000738666768896173</v>
      </c>
    </row>
    <row r="6" customFormat="false" ht="15" hidden="false" customHeight="false" outlineLevel="0" collapsed="false">
      <c r="A6" s="19" t="n">
        <v>46252</v>
      </c>
      <c r="B6" s="20" t="n">
        <f aca="false">'Daily Trade Summary'!B47</f>
        <v>125640</v>
      </c>
      <c r="C6" s="20" t="n">
        <f aca="false">'Daily Trade Summary'!E47</f>
        <v>125640</v>
      </c>
      <c r="D6" s="20" t="n">
        <f aca="false">'Daily Trade Summary'!I47</f>
        <v>0</v>
      </c>
      <c r="E6" s="21" t="n">
        <f aca="false">'Daily Trade Summary'!C47</f>
        <v>21984905</v>
      </c>
      <c r="F6" s="21" t="n">
        <f aca="false">'Daily Trade Summary'!F47</f>
        <v>22001335</v>
      </c>
      <c r="G6" s="21" t="n">
        <f aca="false">'Daily Trade Summary'!J47</f>
        <v>16430</v>
      </c>
      <c r="H6" s="21" t="n">
        <f aca="false">'Daily Trade Summary'!L47</f>
        <v>6920.371375</v>
      </c>
      <c r="I6" s="21" t="n">
        <f aca="false">'Daily Trade Summary'!M47</f>
        <v>899.64827875</v>
      </c>
      <c r="J6" s="21" t="n">
        <f aca="false">'Daily Trade Summary'!N47</f>
        <v>7820.01965375</v>
      </c>
      <c r="K6" s="21" t="n">
        <f aca="false">'Daily Trade Summary'!O47</f>
        <v>8609.98034625</v>
      </c>
      <c r="L6" s="22" t="n">
        <f aca="false">IF($E6=0,"",$K6/$E6)</f>
        <v>0.000391631455594191</v>
      </c>
    </row>
    <row r="7" customFormat="false" ht="15" hidden="false" customHeight="false" outlineLevel="0" collapsed="false">
      <c r="A7" s="19" t="n">
        <v>46253</v>
      </c>
      <c r="B7" s="20" t="n">
        <f aca="false">'Daily Trade Summary'!B70</f>
        <v>96000</v>
      </c>
      <c r="C7" s="20" t="n">
        <f aca="false">'Daily Trade Summary'!E70</f>
        <v>96000</v>
      </c>
      <c r="D7" s="20" t="n">
        <f aca="false">'Daily Trade Summary'!I70</f>
        <v>0</v>
      </c>
      <c r="E7" s="21" t="n">
        <f aca="false">'Daily Trade Summary'!C70</f>
        <v>12039745</v>
      </c>
      <c r="F7" s="21" t="n">
        <f aca="false">'Daily Trade Summary'!F70</f>
        <v>12062720</v>
      </c>
      <c r="G7" s="21" t="n">
        <f aca="false">'Daily Trade Summary'!J70</f>
        <v>22975</v>
      </c>
      <c r="H7" s="21" t="n">
        <f aca="false">'Daily Trade Summary'!L70</f>
        <v>3851.25275</v>
      </c>
      <c r="I7" s="21" t="n">
        <f aca="false">'Daily Trade Summary'!M70</f>
        <v>500.6628575</v>
      </c>
      <c r="J7" s="21" t="n">
        <f aca="false">'Daily Trade Summary'!N70</f>
        <v>4351.9156075</v>
      </c>
      <c r="K7" s="21" t="n">
        <f aca="false">'Daily Trade Summary'!O70</f>
        <v>18623.0843925</v>
      </c>
      <c r="L7" s="22" t="n">
        <f aca="false">IF($E7=0,"",$K7/$E7)</f>
        <v>0.00154680056699706</v>
      </c>
    </row>
    <row r="8" customFormat="false" ht="15" hidden="false" customHeight="false" outlineLevel="0" collapsed="false">
      <c r="A8" s="19" t="n">
        <v>46254</v>
      </c>
      <c r="B8" s="20" t="n">
        <f aca="false">'Daily Trade Summary'!B94</f>
        <v>63500</v>
      </c>
      <c r="C8" s="20" t="n">
        <f aca="false">'Daily Trade Summary'!E94</f>
        <v>63500</v>
      </c>
      <c r="D8" s="20" t="n">
        <f aca="false">'Daily Trade Summary'!I94</f>
        <v>0</v>
      </c>
      <c r="E8" s="21" t="n">
        <f aca="false">'Daily Trade Summary'!C94</f>
        <v>10062968</v>
      </c>
      <c r="F8" s="21" t="n">
        <f aca="false">'Daily Trade Summary'!F94</f>
        <v>10084864.51</v>
      </c>
      <c r="G8" s="21" t="n">
        <f aca="false">'Daily Trade Summary'!J94</f>
        <v>21896.51</v>
      </c>
      <c r="H8" s="21" t="n">
        <f aca="false">'Daily Trade Summary'!L94</f>
        <v>3277.58096575</v>
      </c>
      <c r="I8" s="21" t="n">
        <f aca="false">'Daily Trade Summary'!M94</f>
        <v>426.0855255475</v>
      </c>
      <c r="J8" s="21" t="n">
        <f aca="false">'Daily Trade Summary'!N94</f>
        <v>3703.6664912975</v>
      </c>
      <c r="K8" s="21" t="n">
        <f aca="false">'Daily Trade Summary'!O94</f>
        <v>18192.8435087025</v>
      </c>
      <c r="L8" s="22" t="n">
        <f aca="false">IF($E8=0,"",$K8/$E8)</f>
        <v>0.0018079003638591</v>
      </c>
    </row>
    <row r="9" customFormat="false" ht="15" hidden="false" customHeight="false" outlineLevel="0" collapsed="false">
      <c r="A9" s="19" t="n">
        <v>46255</v>
      </c>
      <c r="B9" s="20" t="n">
        <f aca="false">'Daily Trade Summary'!B117</f>
        <v>45357</v>
      </c>
      <c r="C9" s="20" t="n">
        <f aca="false">'Daily Trade Summary'!E117</f>
        <v>45357</v>
      </c>
      <c r="D9" s="20" t="n">
        <f aca="false">'Daily Trade Summary'!I117</f>
        <v>0</v>
      </c>
      <c r="E9" s="21" t="n">
        <f aca="false">'Daily Trade Summary'!C117</f>
        <v>8763519.97</v>
      </c>
      <c r="F9" s="21" t="n">
        <f aca="false">'Daily Trade Summary'!F117</f>
        <v>8772484.26</v>
      </c>
      <c r="G9" s="21" t="n">
        <f aca="false">'Daily Trade Summary'!J117</f>
        <v>8964.28999999957</v>
      </c>
      <c r="H9" s="21" t="n">
        <f aca="false">'Daily Trade Summary'!L117</f>
        <v>2851.0573845</v>
      </c>
      <c r="I9" s="21" t="n">
        <f aca="false">'Daily Trade Summary'!M117</f>
        <v>370.637459985</v>
      </c>
      <c r="J9" s="21" t="n">
        <f aca="false">'Daily Trade Summary'!N117</f>
        <v>3221.694844485</v>
      </c>
      <c r="K9" s="21" t="n">
        <f aca="false">'Daily Trade Summary'!O117</f>
        <v>5742.59515551457</v>
      </c>
      <c r="L9" s="22" t="n">
        <f aca="false">IF($E9=0,"",$K9/$E9)</f>
        <v>0.000655284083926675</v>
      </c>
    </row>
    <row r="10" customFormat="false" ht="15" hidden="false" customHeight="false" outlineLevel="0" collapsed="false">
      <c r="A10" s="19" t="n">
        <v>46258</v>
      </c>
      <c r="B10" s="20" t="n">
        <f aca="false">'Daily Trade Summary'!B140</f>
        <v>84004</v>
      </c>
      <c r="C10" s="20" t="n">
        <f aca="false">'Daily Trade Summary'!E140</f>
        <v>84004</v>
      </c>
      <c r="D10" s="20" t="n">
        <f aca="false">'Daily Trade Summary'!I140</f>
        <v>0</v>
      </c>
      <c r="E10" s="21" t="n">
        <f aca="false">'Daily Trade Summary'!C140</f>
        <v>13130112.51</v>
      </c>
      <c r="F10" s="21" t="n">
        <f aca="false">'Daily Trade Summary'!F140</f>
        <v>13155566.8</v>
      </c>
      <c r="G10" s="21" t="n">
        <f aca="false">'Daily Trade Summary'!J140</f>
        <v>25454.29</v>
      </c>
      <c r="H10" s="21" t="n">
        <f aca="false">'Daily Trade Summary'!L140</f>
        <v>4275.55921</v>
      </c>
      <c r="I10" s="21" t="n">
        <f aca="false">'Daily Trade Summary'!M140</f>
        <v>555.8226973</v>
      </c>
      <c r="J10" s="21" t="n">
        <f aca="false">'Daily Trade Summary'!N140</f>
        <v>4831.3819073</v>
      </c>
      <c r="K10" s="21" t="n">
        <f aca="false">'Daily Trade Summary'!O140</f>
        <v>20622.9080927</v>
      </c>
      <c r="L10" s="22" t="n">
        <f aca="false">IF($E10=0,"",$K10/$E10)</f>
        <v>0.00157065737837307</v>
      </c>
    </row>
    <row r="11" customFormat="false" ht="15" hidden="false" customHeight="false" outlineLevel="0" collapsed="false">
      <c r="A11" s="19" t="n">
        <v>46261</v>
      </c>
      <c r="B11" s="20" t="n">
        <f aca="false">'Daily Trade Summary'!B157</f>
        <v>26500</v>
      </c>
      <c r="C11" s="20" t="n">
        <f aca="false">'Daily Trade Summary'!E157</f>
        <v>26500</v>
      </c>
      <c r="D11" s="20" t="n">
        <f aca="false">'Daily Trade Summary'!I157</f>
        <v>0</v>
      </c>
      <c r="E11" s="21" t="n">
        <f aca="false">'Daily Trade Summary'!C157</f>
        <v>2407645</v>
      </c>
      <c r="F11" s="21" t="n">
        <f aca="false">'Daily Trade Summary'!F157</f>
        <v>2404525</v>
      </c>
      <c r="G11" s="21" t="n">
        <f aca="false">'Daily Trade Summary'!J157</f>
        <v>-3120</v>
      </c>
      <c r="H11" s="21" t="n">
        <f aca="false">'Daily Trade Summary'!L157</f>
        <v>781.470625</v>
      </c>
      <c r="I11" s="21" t="n">
        <f aca="false">'Daily Trade Summary'!M157</f>
        <v>101.59118125</v>
      </c>
      <c r="J11" s="21" t="n">
        <f aca="false">'Daily Trade Summary'!N157</f>
        <v>883.06180625</v>
      </c>
      <c r="K11" s="21" t="n">
        <f aca="false">'Daily Trade Summary'!O157</f>
        <v>-4003.06180625</v>
      </c>
      <c r="L11" s="22" t="n">
        <f aca="false">IF($E11=0,"",$K11/$E11)</f>
        <v>-0.00166264619835981</v>
      </c>
    </row>
    <row r="12" customFormat="false" ht="15" hidden="false" customHeight="false" outlineLevel="0" collapsed="false">
      <c r="A12" s="19" t="n">
        <v>46265</v>
      </c>
      <c r="B12" s="20" t="n">
        <f aca="false">'Daily Trade Summary'!B179</f>
        <v>51500</v>
      </c>
      <c r="C12" s="20" t="n">
        <f aca="false">'Daily Trade Summary'!E179</f>
        <v>51500</v>
      </c>
      <c r="D12" s="20" t="n">
        <f aca="false">'Daily Trade Summary'!I179</f>
        <v>0</v>
      </c>
      <c r="E12" s="21" t="n">
        <f aca="false">'Daily Trade Summary'!C179</f>
        <v>18280836.89</v>
      </c>
      <c r="F12" s="21" t="n">
        <f aca="false">'Daily Trade Summary'!F179</f>
        <v>18292560</v>
      </c>
      <c r="G12" s="21" t="n">
        <f aca="false">'Daily Trade Summary'!J179</f>
        <v>11723.1100000001</v>
      </c>
      <c r="H12" s="21" t="n">
        <f aca="false">'Daily Trade Summary'!L179</f>
        <v>5945.082</v>
      </c>
      <c r="I12" s="21" t="n">
        <f aca="false">'Daily Trade Summary'!M179</f>
        <v>772.86066</v>
      </c>
      <c r="J12" s="21" t="n">
        <f aca="false">'Daily Trade Summary'!N179</f>
        <v>6717.94266</v>
      </c>
      <c r="K12" s="21" t="n">
        <f aca="false">'Daily Trade Summary'!O179</f>
        <v>5005.1673400001</v>
      </c>
      <c r="L12" s="22" t="n">
        <f aca="false">IF($E12=0,"",$K12/$E12)</f>
        <v>0.000273793118450613</v>
      </c>
    </row>
    <row r="13" customFormat="false" ht="15" hidden="false" customHeight="false" outlineLevel="0" collapsed="false">
      <c r="A13" s="19" t="n">
        <v>46266</v>
      </c>
      <c r="B13" s="20" t="n">
        <f aca="false">'Daily Trade Summary'!B203</f>
        <v>40920</v>
      </c>
      <c r="C13" s="20" t="n">
        <f aca="false">'Daily Trade Summary'!E203</f>
        <v>40920</v>
      </c>
      <c r="D13" s="20" t="n">
        <f aca="false">'Daily Trade Summary'!I203</f>
        <v>0</v>
      </c>
      <c r="E13" s="21" t="n">
        <f aca="false">'Daily Trade Summary'!C203</f>
        <v>13686449.11</v>
      </c>
      <c r="F13" s="21" t="n">
        <f aca="false">'Daily Trade Summary'!F203</f>
        <v>13711864.41</v>
      </c>
      <c r="G13" s="21" t="n">
        <f aca="false">'Daily Trade Summary'!J203</f>
        <v>25415.3000000001</v>
      </c>
      <c r="H13" s="21" t="n">
        <f aca="false">'Daily Trade Summary'!L203</f>
        <v>4456.35593325</v>
      </c>
      <c r="I13" s="21" t="n">
        <f aca="false">'Daily Trade Summary'!M203</f>
        <v>579.3262713225</v>
      </c>
      <c r="J13" s="21" t="n">
        <f aca="false">'Daily Trade Summary'!N203</f>
        <v>5035.6822045725</v>
      </c>
      <c r="K13" s="21" t="n">
        <f aca="false">'Daily Trade Summary'!O203</f>
        <v>20379.6177954276</v>
      </c>
      <c r="L13" s="22" t="n">
        <f aca="false">IF($E13=0,"",$K13/$E13)</f>
        <v>0.00148903617232152</v>
      </c>
    </row>
    <row r="14" customFormat="false" ht="15" hidden="false" customHeight="false" outlineLevel="0" collapsed="false">
      <c r="A14" s="19" t="n">
        <v>46267</v>
      </c>
      <c r="B14" s="20" t="n">
        <f aca="false">'Daily Trade Summary'!B223</f>
        <v>115000</v>
      </c>
      <c r="C14" s="20" t="n">
        <f aca="false">'Daily Trade Summary'!E223</f>
        <v>115000</v>
      </c>
      <c r="D14" s="20" t="n">
        <f aca="false">'Daily Trade Summary'!I223</f>
        <v>0</v>
      </c>
      <c r="E14" s="21" t="n">
        <f aca="false">'Daily Trade Summary'!C223</f>
        <v>14853375</v>
      </c>
      <c r="F14" s="21" t="n">
        <f aca="false">'Daily Trade Summary'!F223</f>
        <v>14863825.36</v>
      </c>
      <c r="G14" s="21" t="n">
        <f aca="false">'Daily Trade Summary'!J223</f>
        <v>10450.36</v>
      </c>
      <c r="H14" s="21" t="n">
        <f aca="false">'Daily Trade Summary'!L223</f>
        <v>4830.743242</v>
      </c>
      <c r="I14" s="21" t="n">
        <f aca="false">'Daily Trade Summary'!M223</f>
        <v>627.99662146</v>
      </c>
      <c r="J14" s="21" t="n">
        <f aca="false">'Daily Trade Summary'!N223</f>
        <v>5458.73986346</v>
      </c>
      <c r="K14" s="21" t="n">
        <f aca="false">'Daily Trade Summary'!O223</f>
        <v>4991.62013654</v>
      </c>
      <c r="L14" s="22" t="n">
        <f aca="false">IF($E14=0,"",$K14/$E14)</f>
        <v>0.000336059658935427</v>
      </c>
    </row>
    <row r="15" customFormat="false" ht="15" hidden="false" customHeight="false" outlineLevel="0" collapsed="false">
      <c r="A15" s="19" t="n">
        <v>46268</v>
      </c>
      <c r="B15" s="20" t="n">
        <f aca="false">'Daily Trade Summary'!B249</f>
        <v>85000</v>
      </c>
      <c r="C15" s="20" t="n">
        <f aca="false">'Daily Trade Summary'!E249</f>
        <v>85000</v>
      </c>
      <c r="D15" s="20" t="n">
        <f aca="false">'Daily Trade Summary'!I249</f>
        <v>0</v>
      </c>
      <c r="E15" s="21" t="n">
        <f aca="false">'Daily Trade Summary'!C249</f>
        <v>15859132.11</v>
      </c>
      <c r="F15" s="21" t="n">
        <f aca="false">'Daily Trade Summary'!F249</f>
        <v>15867401.7</v>
      </c>
      <c r="G15" s="21" t="n">
        <f aca="false">'Daily Trade Summary'!J249</f>
        <v>8269.59000000008</v>
      </c>
      <c r="H15" s="21" t="n">
        <f aca="false">'Daily Trade Summary'!L249</f>
        <v>5156.9055525</v>
      </c>
      <c r="I15" s="21" t="n">
        <f aca="false">'Daily Trade Summary'!M249</f>
        <v>670.397721825</v>
      </c>
      <c r="J15" s="21" t="n">
        <f aca="false">'Daily Trade Summary'!N249</f>
        <v>5827.303274325</v>
      </c>
      <c r="K15" s="21" t="n">
        <f aca="false">'Daily Trade Summary'!O249</f>
        <v>2442.28672567508</v>
      </c>
      <c r="L15" s="22" t="n">
        <f aca="false">IF($E15=0,"",$K15/$E15)</f>
        <v>0.000153998762904251</v>
      </c>
    </row>
    <row r="16" customFormat="false" ht="15" hidden="false" customHeight="false" outlineLevel="0" collapsed="false">
      <c r="A16" s="19" t="n">
        <v>46269</v>
      </c>
      <c r="B16" s="20" t="n">
        <f aca="false">'Daily Trade Summary'!B272</f>
        <v>139200</v>
      </c>
      <c r="C16" s="20" t="n">
        <f aca="false">'Daily Trade Summary'!E272</f>
        <v>139200</v>
      </c>
      <c r="D16" s="20" t="n">
        <f aca="false">'Daily Trade Summary'!I272</f>
        <v>0</v>
      </c>
      <c r="E16" s="21" t="n">
        <f aca="false">'Daily Trade Summary'!C272</f>
        <v>22870426.57</v>
      </c>
      <c r="F16" s="21" t="n">
        <f aca="false">'Daily Trade Summary'!F272</f>
        <v>22877215</v>
      </c>
      <c r="G16" s="21" t="n">
        <f aca="false">'Daily Trade Summary'!J272</f>
        <v>6788.43000000005</v>
      </c>
      <c r="H16" s="21" t="n">
        <f aca="false">'Daily Trade Summary'!L272</f>
        <v>7435.094875</v>
      </c>
      <c r="I16" s="21" t="n">
        <f aca="false">'Daily Trade Summary'!M272</f>
        <v>966.56233375</v>
      </c>
      <c r="J16" s="21" t="n">
        <f aca="false">'Daily Trade Summary'!N272</f>
        <v>8401.65720875</v>
      </c>
      <c r="K16" s="21" t="n">
        <f aca="false">'Daily Trade Summary'!O272</f>
        <v>-1613.22720874995</v>
      </c>
      <c r="L16" s="22" t="n">
        <f aca="false">IF($E16=0,"",$K16/$E16)</f>
        <v>-7.05376965231632E-005</v>
      </c>
    </row>
    <row r="17" customFormat="false" ht="15" hidden="false" customHeight="false" outlineLevel="0" collapsed="false">
      <c r="A17" s="19" t="n">
        <v>46272</v>
      </c>
      <c r="B17" s="20" t="n">
        <f aca="false">'Daily Trade Summary'!B292</f>
        <v>22051</v>
      </c>
      <c r="C17" s="20" t="n">
        <f aca="false">'Daily Trade Summary'!E292</f>
        <v>22051</v>
      </c>
      <c r="D17" s="20" t="n">
        <f aca="false">'Daily Trade Summary'!I292</f>
        <v>0</v>
      </c>
      <c r="E17" s="21" t="n">
        <f aca="false">'Daily Trade Summary'!C292</f>
        <v>3194849.52</v>
      </c>
      <c r="F17" s="21" t="n">
        <f aca="false">'Daily Trade Summary'!F292</f>
        <v>3205253.49</v>
      </c>
      <c r="G17" s="21" t="n">
        <f aca="false">'Daily Trade Summary'!J292</f>
        <v>10403.97</v>
      </c>
      <c r="H17" s="21" t="n">
        <f aca="false">'Daily Trade Summary'!L292</f>
        <v>1041.70738425</v>
      </c>
      <c r="I17" s="21" t="n">
        <f aca="false">'Daily Trade Summary'!M292</f>
        <v>135.4219599525</v>
      </c>
      <c r="J17" s="21" t="n">
        <f aca="false">'Daily Trade Summary'!N292</f>
        <v>1177.1293442025</v>
      </c>
      <c r="K17" s="21" t="n">
        <f aca="false">'Daily Trade Summary'!O292</f>
        <v>9226.84065579747</v>
      </c>
      <c r="L17" s="22" t="n">
        <f aca="false">IF($E17=0,"",$K17/$E17)</f>
        <v>0.0028880360711942</v>
      </c>
    </row>
    <row r="18" customFormat="false" ht="15" hidden="false" customHeight="false" outlineLevel="0" collapsed="false">
      <c r="A18" s="19" t="n">
        <v>46273</v>
      </c>
      <c r="B18" s="20" t="n">
        <f aca="false">'Daily Trade Summary'!B314</f>
        <v>67000</v>
      </c>
      <c r="C18" s="20" t="n">
        <f aca="false">'Daily Trade Summary'!E314</f>
        <v>67000</v>
      </c>
      <c r="D18" s="20" t="n">
        <f aca="false">'Daily Trade Summary'!I314</f>
        <v>0</v>
      </c>
      <c r="E18" s="21" t="n">
        <f aca="false">'Daily Trade Summary'!C314</f>
        <v>11580825</v>
      </c>
      <c r="F18" s="21" t="n">
        <f aca="false">'Daily Trade Summary'!F314</f>
        <v>11593195</v>
      </c>
      <c r="G18" s="21" t="n">
        <f aca="false">'Daily Trade Summary'!J314</f>
        <v>12370</v>
      </c>
      <c r="H18" s="21" t="n">
        <f aca="false">'Daily Trade Summary'!L314</f>
        <v>3716.460875</v>
      </c>
      <c r="I18" s="21" t="n">
        <f aca="false">'Daily Trade Summary'!M314</f>
        <v>483.13991375</v>
      </c>
      <c r="J18" s="21" t="n">
        <f aca="false">'Daily Trade Summary'!N314</f>
        <v>4199.60078875</v>
      </c>
      <c r="K18" s="21" t="n">
        <f aca="false">'Daily Trade Summary'!O314</f>
        <v>8170.39921125</v>
      </c>
      <c r="L18" s="22" t="n">
        <f aca="false">IF($E18=0,"",$K18/$E18)</f>
        <v>0.000705510981406765</v>
      </c>
    </row>
    <row r="19" customFormat="false" ht="15" hidden="false" customHeight="false" outlineLevel="0" collapsed="false">
      <c r="A19" s="19" t="n">
        <v>46274</v>
      </c>
      <c r="B19" s="20" t="n">
        <f aca="false">'Daily Trade Summary'!B334</f>
        <v>51953</v>
      </c>
      <c r="C19" s="20" t="n">
        <f aca="false">'Daily Trade Summary'!E334</f>
        <v>51953</v>
      </c>
      <c r="D19" s="20" t="n">
        <f aca="false">'Daily Trade Summary'!I334</f>
        <v>0</v>
      </c>
      <c r="E19" s="21" t="n">
        <f aca="false">'Daily Trade Summary'!C334</f>
        <v>4936491.02</v>
      </c>
      <c r="F19" s="21" t="n">
        <f aca="false">'Daily Trade Summary'!F334</f>
        <v>4940816</v>
      </c>
      <c r="G19" s="21" t="n">
        <f aca="false">'Daily Trade Summary'!J334</f>
        <v>4324.97999999998</v>
      </c>
      <c r="H19" s="21" t="n">
        <f aca="false">'Daily Trade Summary'!L334</f>
        <v>1605.7652</v>
      </c>
      <c r="I19" s="21" t="n">
        <f aca="false">'Daily Trade Summary'!M334</f>
        <v>208.749476</v>
      </c>
      <c r="J19" s="21" t="n">
        <f aca="false">'Daily Trade Summary'!N334</f>
        <v>1814.514676</v>
      </c>
      <c r="K19" s="21" t="n">
        <f aca="false">'Daily Trade Summary'!O334</f>
        <v>2510.46532399998</v>
      </c>
      <c r="L19" s="22" t="n">
        <f aca="false">IF($E19=0,"",$K19/$E19)</f>
        <v>0.000508552596131327</v>
      </c>
    </row>
    <row r="20" customFormat="false" ht="15" hidden="false" customHeight="false" outlineLevel="0" collapsed="false">
      <c r="A20" s="19" t="n">
        <v>46275</v>
      </c>
      <c r="B20" s="20" t="n">
        <f aca="false">'Daily Trade Summary'!B355</f>
        <v>25405</v>
      </c>
      <c r="C20" s="20" t="n">
        <f aca="false">'Daily Trade Summary'!E355</f>
        <v>25405</v>
      </c>
      <c r="D20" s="20" t="n">
        <f aca="false">'Daily Trade Summary'!I355</f>
        <v>0</v>
      </c>
      <c r="E20" s="21" t="n">
        <f aca="false">'Daily Trade Summary'!C355</f>
        <v>3843124.44</v>
      </c>
      <c r="F20" s="21" t="n">
        <f aca="false">'Daily Trade Summary'!F355</f>
        <v>3839233.91</v>
      </c>
      <c r="G20" s="21" t="n">
        <f aca="false">'Daily Trade Summary'!J355</f>
        <v>-3890.5299999999</v>
      </c>
      <c r="H20" s="21" t="n">
        <f aca="false">'Daily Trade Summary'!L355</f>
        <v>1189.71239575</v>
      </c>
      <c r="I20" s="21" t="n">
        <f aca="false">'Daily Trade Summary'!M355</f>
        <v>154.6626114475</v>
      </c>
      <c r="J20" s="21" t="n">
        <f aca="false">'Daily Trade Summary'!N355</f>
        <v>1344.3750071975</v>
      </c>
      <c r="K20" s="21" t="n">
        <f aca="false">'Daily Trade Summary'!O355</f>
        <v>-5234.9050071974</v>
      </c>
      <c r="L20" s="22" t="n">
        <f aca="false">IF($E20=0,"",$K20/$E20)</f>
        <v>-0.00136214819190122</v>
      </c>
    </row>
    <row r="21" customFormat="false" ht="15" hidden="false" customHeight="false" outlineLevel="0" collapsed="false">
      <c r="A21" s="19" t="n">
        <v>46276</v>
      </c>
      <c r="B21" s="20" t="n">
        <f aca="false">'Daily Trade Summary'!B375</f>
        <v>52593</v>
      </c>
      <c r="C21" s="20" t="n">
        <f aca="false">'Daily Trade Summary'!E375</f>
        <v>52593</v>
      </c>
      <c r="D21" s="20" t="n">
        <f aca="false">'Daily Trade Summary'!I375</f>
        <v>0</v>
      </c>
      <c r="E21" s="21" t="n">
        <f aca="false">'Daily Trade Summary'!C375</f>
        <v>6080555.57</v>
      </c>
      <c r="F21" s="21" t="n">
        <f aca="false">'Daily Trade Summary'!F375</f>
        <v>6086289.05</v>
      </c>
      <c r="G21" s="21" t="n">
        <f aca="false">'Daily Trade Summary'!J375</f>
        <v>5733.48</v>
      </c>
      <c r="H21" s="21" t="n">
        <f aca="false">'Daily Trade Summary'!L375</f>
        <v>1978.04394125</v>
      </c>
      <c r="I21" s="21" t="n">
        <f aca="false">'Daily Trade Summary'!M375</f>
        <v>257.1457123625</v>
      </c>
      <c r="J21" s="21" t="n">
        <f aca="false">'Daily Trade Summary'!N375</f>
        <v>2235.1896536125</v>
      </c>
      <c r="K21" s="21" t="n">
        <f aca="false">'Daily Trade Summary'!O375</f>
        <v>3498.2903463875</v>
      </c>
      <c r="L21" s="22" t="n">
        <f aca="false">IF($E21=0,"",$K21/$E21)</f>
        <v>0.000575324130519787</v>
      </c>
    </row>
    <row r="22" customFormat="false" ht="15" hidden="false" customHeight="false" outlineLevel="0" collapsed="false">
      <c r="A22" s="19" t="n">
        <v>46279</v>
      </c>
      <c r="B22" s="20" t="n">
        <f aca="false">'Daily Trade Summary'!B400</f>
        <v>68500</v>
      </c>
      <c r="C22" s="20" t="n">
        <f aca="false">'Daily Trade Summary'!E400</f>
        <v>68500</v>
      </c>
      <c r="D22" s="20" t="n">
        <f aca="false">'Daily Trade Summary'!I400</f>
        <v>0</v>
      </c>
      <c r="E22" s="21" t="n">
        <f aca="false">'Daily Trade Summary'!C400</f>
        <v>11322640.42</v>
      </c>
      <c r="F22" s="21" t="n">
        <f aca="false">'Daily Trade Summary'!F400</f>
        <v>11331895</v>
      </c>
      <c r="G22" s="21" t="n">
        <f aca="false">'Daily Trade Summary'!J400</f>
        <v>9254.58000000008</v>
      </c>
      <c r="H22" s="21" t="n">
        <f aca="false">'Daily Trade Summary'!L400</f>
        <v>3682.865875</v>
      </c>
      <c r="I22" s="21" t="n">
        <f aca="false">'Daily Trade Summary'!M400</f>
        <v>478.77256375</v>
      </c>
      <c r="J22" s="21" t="n">
        <f aca="false">'Daily Trade Summary'!N400</f>
        <v>4161.63843875</v>
      </c>
      <c r="K22" s="21" t="n">
        <f aca="false">'Daily Trade Summary'!O400</f>
        <v>5092.94156125007</v>
      </c>
      <c r="L22" s="22" t="n">
        <f aca="false">IF($E22=0,"",$K22/$E22)</f>
        <v>0.00044980158093284</v>
      </c>
    </row>
    <row r="23" customFormat="false" ht="15" hidden="false" customHeight="false" outlineLevel="0" collapsed="false">
      <c r="A23" s="19" t="n">
        <v>46280</v>
      </c>
      <c r="B23" s="20" t="n">
        <f aca="false">'Daily Trade Summary'!B418</f>
        <v>18000</v>
      </c>
      <c r="C23" s="20" t="n">
        <f aca="false">'Daily Trade Summary'!E418</f>
        <v>18000</v>
      </c>
      <c r="D23" s="20" t="n">
        <f aca="false">'Daily Trade Summary'!I418</f>
        <v>0</v>
      </c>
      <c r="E23" s="21" t="n">
        <f aca="false">'Daily Trade Summary'!C418</f>
        <v>2928580</v>
      </c>
      <c r="F23" s="21" t="n">
        <f aca="false">'Daily Trade Summary'!F418</f>
        <v>2930140</v>
      </c>
      <c r="G23" s="21" t="n">
        <f aca="false">'Daily Trade Summary'!J418</f>
        <v>1560</v>
      </c>
      <c r="H23" s="21" t="n">
        <f aca="false">'Daily Trade Summary'!L418</f>
        <v>952.2955</v>
      </c>
      <c r="I23" s="21" t="n">
        <f aca="false">'Daily Trade Summary'!M418</f>
        <v>123.798415</v>
      </c>
      <c r="J23" s="21" t="n">
        <f aca="false">'Daily Trade Summary'!N418</f>
        <v>1076.093915</v>
      </c>
      <c r="K23" s="21" t="n">
        <f aca="false">'Daily Trade Summary'!O418</f>
        <v>483.906085</v>
      </c>
      <c r="L23" s="22" t="n">
        <f aca="false">IF($E23=0,"",$K23/$E23)</f>
        <v>0.00016523574052954</v>
      </c>
    </row>
    <row r="24" customFormat="false" ht="15" hidden="false" customHeight="false" outlineLevel="0" collapsed="false">
      <c r="A24" s="19" t="n">
        <v>46281</v>
      </c>
      <c r="B24" s="20" t="n">
        <f aca="false">'Daily Trade Summary'!B442</f>
        <v>43500</v>
      </c>
      <c r="C24" s="20" t="n">
        <f aca="false">'Daily Trade Summary'!E442</f>
        <v>43500</v>
      </c>
      <c r="D24" s="20" t="n">
        <f aca="false">'Daily Trade Summary'!I442</f>
        <v>0</v>
      </c>
      <c r="E24" s="21" t="n">
        <f aca="false">'Daily Trade Summary'!C442</f>
        <v>8237815.65</v>
      </c>
      <c r="F24" s="21" t="n">
        <f aca="false">'Daily Trade Summary'!F442</f>
        <v>8236390</v>
      </c>
      <c r="G24" s="21" t="n">
        <f aca="false">'Daily Trade Summary'!J442</f>
        <v>-1425.64999999999</v>
      </c>
      <c r="H24" s="21" t="n">
        <f aca="false">'Daily Trade Summary'!L442</f>
        <v>2676.82675</v>
      </c>
      <c r="I24" s="21" t="n">
        <f aca="false">'Daily Trade Summary'!M442</f>
        <v>347.9874775</v>
      </c>
      <c r="J24" s="21" t="n">
        <f aca="false">'Daily Trade Summary'!N442</f>
        <v>3024.8142275</v>
      </c>
      <c r="K24" s="21" t="n">
        <f aca="false">'Daily Trade Summary'!O442</f>
        <v>-4450.46422749999</v>
      </c>
      <c r="L24" s="22" t="n">
        <f aca="false">IF($E24=0,"",$K24/$E24)</f>
        <v>-0.000540248096896899</v>
      </c>
    </row>
    <row r="25" customFormat="false" ht="15" hidden="false" customHeight="false" outlineLevel="0" collapsed="false">
      <c r="A25" s="19" t="n">
        <v>46282</v>
      </c>
      <c r="B25" s="20" t="n">
        <f aca="false">'Daily Trade Summary'!B468</f>
        <v>57500</v>
      </c>
      <c r="C25" s="20" t="n">
        <f aca="false">'Daily Trade Summary'!E468</f>
        <v>57500</v>
      </c>
      <c r="D25" s="20" t="n">
        <f aca="false">'Daily Trade Summary'!I468</f>
        <v>0</v>
      </c>
      <c r="E25" s="21" t="n">
        <f aca="false">'Daily Trade Summary'!C468</f>
        <v>10564945</v>
      </c>
      <c r="F25" s="21" t="n">
        <f aca="false">'Daily Trade Summary'!F468</f>
        <v>10567937.65</v>
      </c>
      <c r="G25" s="21" t="n">
        <f aca="false">'Daily Trade Summary'!J468</f>
        <v>2992.64999999991</v>
      </c>
      <c r="H25" s="21" t="n">
        <f aca="false">'Daily Trade Summary'!L468</f>
        <v>3434.57973625</v>
      </c>
      <c r="I25" s="21" t="n">
        <f aca="false">'Daily Trade Summary'!M468</f>
        <v>446.4953657125</v>
      </c>
      <c r="J25" s="21" t="n">
        <f aca="false">'Daily Trade Summary'!N468</f>
        <v>3881.0751019625</v>
      </c>
      <c r="K25" s="21" t="n">
        <f aca="false">'Daily Trade Summary'!O468</f>
        <v>-888.425101962593</v>
      </c>
      <c r="L25" s="22" t="n">
        <f aca="false">IF($E25=0,"",$K25/$E25)</f>
        <v>-8.40917867497269E-005</v>
      </c>
    </row>
    <row r="26" customFormat="false" ht="15" hidden="false" customHeight="false" outlineLevel="0" collapsed="false">
      <c r="A26" s="19" t="n">
        <v>46283</v>
      </c>
      <c r="B26" s="20" t="n">
        <f aca="false">'Daily Trade Summary'!B495</f>
        <v>94719</v>
      </c>
      <c r="C26" s="20" t="n">
        <f aca="false">'Daily Trade Summary'!E495</f>
        <v>94719</v>
      </c>
      <c r="D26" s="20" t="n">
        <f aca="false">'Daily Trade Summary'!I495</f>
        <v>0</v>
      </c>
      <c r="E26" s="21" t="n">
        <f aca="false">'Daily Trade Summary'!C495</f>
        <v>14436905.94</v>
      </c>
      <c r="F26" s="21" t="n">
        <f aca="false">'Daily Trade Summary'!F495</f>
        <v>14447051.46</v>
      </c>
      <c r="G26" s="21" t="n">
        <f aca="false">'Daily Trade Summary'!J495</f>
        <v>10145.52</v>
      </c>
      <c r="H26" s="21" t="n">
        <f aca="false">'Daily Trade Summary'!L495</f>
        <v>4695.2917245</v>
      </c>
      <c r="I26" s="21" t="n">
        <f aca="false">'Daily Trade Summary'!M495</f>
        <v>610.387924185</v>
      </c>
      <c r="J26" s="21" t="n">
        <f aca="false">'Daily Trade Summary'!N495</f>
        <v>5305.679648685</v>
      </c>
      <c r="K26" s="21" t="n">
        <f aca="false">'Daily Trade Summary'!O495</f>
        <v>4839.84035131502</v>
      </c>
      <c r="L26" s="22" t="n">
        <f aca="false">IF($E26=0,"",$K26/$E26)</f>
        <v>0.000335240831479367</v>
      </c>
    </row>
    <row r="27" customFormat="false" ht="15" hidden="false" customHeight="false" outlineLevel="0" collapsed="false">
      <c r="A27" s="19" t="n">
        <v>46293</v>
      </c>
      <c r="B27" s="20" t="n">
        <f aca="false">'Daily Trade Summary'!B521</f>
        <v>143000</v>
      </c>
      <c r="C27" s="20" t="n">
        <f aca="false">'Daily Trade Summary'!E521</f>
        <v>143000</v>
      </c>
      <c r="D27" s="20" t="n">
        <f aca="false">'Daily Trade Summary'!I521</f>
        <v>0</v>
      </c>
      <c r="E27" s="21" t="n">
        <f aca="false">'Daily Trade Summary'!C521</f>
        <v>15324771</v>
      </c>
      <c r="F27" s="21" t="n">
        <f aca="false">'Daily Trade Summary'!F521</f>
        <v>15336029.44</v>
      </c>
      <c r="G27" s="21" t="n">
        <f aca="false">'Daily Trade Summary'!J521</f>
        <v>11258.4399999997</v>
      </c>
      <c r="H27" s="21" t="n">
        <f aca="false">'Daily Trade Summary'!L521</f>
        <v>4771.093818</v>
      </c>
      <c r="I27" s="21" t="n">
        <f aca="false">'Daily Trade Summary'!M521</f>
        <v>620.24219634</v>
      </c>
      <c r="J27" s="21" t="n">
        <f aca="false">'Daily Trade Summary'!N521</f>
        <v>5391.33601434</v>
      </c>
      <c r="K27" s="21" t="n">
        <f aca="false">'Daily Trade Summary'!O521</f>
        <v>5867.10398565965</v>
      </c>
      <c r="L27" s="22" t="n">
        <f aca="false">IF($E27=0,"",$K27/$E27)</f>
        <v>0.000382851005451217</v>
      </c>
    </row>
    <row r="28" customFormat="false" ht="15" hidden="false" customHeight="false" outlineLevel="0" collapsed="false">
      <c r="A28" s="19" t="n">
        <v>46294</v>
      </c>
      <c r="B28" s="20" t="n">
        <f aca="false">'Daily Trade Summary'!B542</f>
        <v>97000</v>
      </c>
      <c r="C28" s="20" t="n">
        <f aca="false">'Daily Trade Summary'!E542</f>
        <v>97000</v>
      </c>
      <c r="D28" s="20" t="n">
        <f aca="false">'Daily Trade Summary'!I542</f>
        <v>0</v>
      </c>
      <c r="E28" s="21" t="n">
        <f aca="false">'Daily Trade Summary'!C542</f>
        <v>12460825</v>
      </c>
      <c r="F28" s="21" t="n">
        <f aca="false">'Daily Trade Summary'!F542</f>
        <v>12473955</v>
      </c>
      <c r="G28" s="21" t="n">
        <f aca="false">'Daily Trade Summary'!J542</f>
        <v>13130</v>
      </c>
      <c r="H28" s="21" t="n">
        <f aca="false">'Daily Trade Summary'!L542</f>
        <v>4006.77975</v>
      </c>
      <c r="I28" s="21" t="n">
        <f aca="false">'Daily Trade Summary'!M542</f>
        <v>520.8813675</v>
      </c>
      <c r="J28" s="21" t="n">
        <f aca="false">'Daily Trade Summary'!N542</f>
        <v>4527.6611175</v>
      </c>
      <c r="K28" s="21" t="n">
        <f aca="false">'Daily Trade Summary'!O542</f>
        <v>8602.3388825</v>
      </c>
      <c r="L28" s="22" t="n">
        <f aca="false">IF($E28=0,"",$K28/$E28)</f>
        <v>0.000690350669598522</v>
      </c>
    </row>
    <row r="29" customFormat="false" ht="15" hidden="false" customHeight="false" outlineLevel="0" collapsed="false">
      <c r="A29" s="19" t="n">
        <v>46295</v>
      </c>
      <c r="B29" s="20" t="n">
        <f aca="false">'Daily Trade Summary'!B563</f>
        <v>114485</v>
      </c>
      <c r="C29" s="20" t="n">
        <f aca="false">'Daily Trade Summary'!E563</f>
        <v>114485</v>
      </c>
      <c r="D29" s="20" t="n">
        <f aca="false">'Daily Trade Summary'!I563</f>
        <v>0</v>
      </c>
      <c r="E29" s="21" t="n">
        <f aca="false">'Daily Trade Summary'!C563</f>
        <v>13933420.91</v>
      </c>
      <c r="F29" s="21" t="n">
        <f aca="false">'Daily Trade Summary'!F563</f>
        <v>13941808.11</v>
      </c>
      <c r="G29" s="21" t="n">
        <f aca="false">'Daily Trade Summary'!J563</f>
        <v>8387.19999999972</v>
      </c>
      <c r="H29" s="21" t="n">
        <f aca="false">'Daily Trade Summary'!L563</f>
        <v>4531.08763575</v>
      </c>
      <c r="I29" s="21" t="n">
        <f aca="false">'Daily Trade Summary'!M563</f>
        <v>589.0413926475</v>
      </c>
      <c r="J29" s="21" t="n">
        <f aca="false">'Daily Trade Summary'!N563</f>
        <v>5120.1290283975</v>
      </c>
      <c r="K29" s="21" t="n">
        <f aca="false">'Daily Trade Summary'!O563</f>
        <v>3267.07097160222</v>
      </c>
      <c r="L29" s="22" t="n">
        <f aca="false">IF($E29=0,"",$K29/$E29)</f>
        <v>0.00023447730408097</v>
      </c>
    </row>
    <row r="30" customFormat="false" ht="15" hidden="false" customHeight="false" outlineLevel="0" collapsed="false">
      <c r="A30" s="19" t="n">
        <v>46296</v>
      </c>
      <c r="B30" s="20" t="n">
        <f aca="false">'Daily Trade Summary'!B585</f>
        <v>61500</v>
      </c>
      <c r="C30" s="20" t="n">
        <f aca="false">'Daily Trade Summary'!E585</f>
        <v>61500</v>
      </c>
      <c r="D30" s="20" t="n">
        <f aca="false">'Daily Trade Summary'!I585</f>
        <v>0</v>
      </c>
      <c r="E30" s="21" t="n">
        <f aca="false">'Daily Trade Summary'!C585</f>
        <v>9592760</v>
      </c>
      <c r="F30" s="21" t="n">
        <f aca="false">'Daily Trade Summary'!F585</f>
        <v>9603580</v>
      </c>
      <c r="G30" s="21" t="n">
        <f aca="false">'Daily Trade Summary'!J585</f>
        <v>10820</v>
      </c>
      <c r="H30" s="21" t="n">
        <f aca="false">'Daily Trade Summary'!L585</f>
        <v>3121.1635</v>
      </c>
      <c r="I30" s="21" t="n">
        <f aca="false">'Daily Trade Summary'!M585</f>
        <v>405.751255</v>
      </c>
      <c r="J30" s="21" t="n">
        <f aca="false">'Daily Trade Summary'!N585</f>
        <v>3526.914755</v>
      </c>
      <c r="K30" s="21" t="n">
        <f aca="false">'Daily Trade Summary'!O585</f>
        <v>7293.085245</v>
      </c>
      <c r="L30" s="22" t="n">
        <f aca="false">IF($E30=0,"",$K30/$E30)</f>
        <v>0.000760269749790467</v>
      </c>
    </row>
    <row r="31" customFormat="false" ht="15" hidden="false" customHeight="false" outlineLevel="0" collapsed="false">
      <c r="A31" s="19" t="n">
        <v>46297</v>
      </c>
      <c r="B31" s="20" t="n">
        <f aca="false">'Daily Trade Summary'!B605</f>
        <v>35500</v>
      </c>
      <c r="C31" s="20" t="n">
        <f aca="false">'Daily Trade Summary'!E605</f>
        <v>35500</v>
      </c>
      <c r="D31" s="20" t="n">
        <f aca="false">'Daily Trade Summary'!I605</f>
        <v>0</v>
      </c>
      <c r="E31" s="21" t="n">
        <f aca="false">'Daily Trade Summary'!C605</f>
        <v>8710670</v>
      </c>
      <c r="F31" s="21" t="n">
        <f aca="false">'Daily Trade Summary'!F605</f>
        <v>8714260</v>
      </c>
      <c r="G31" s="21" t="n">
        <f aca="false">'Daily Trade Summary'!J605</f>
        <v>3590</v>
      </c>
      <c r="H31" s="21" t="n">
        <f aca="false">'Daily Trade Summary'!L605</f>
        <v>2832.1345</v>
      </c>
      <c r="I31" s="21" t="n">
        <f aca="false">'Daily Trade Summary'!M605</f>
        <v>368.177485</v>
      </c>
      <c r="J31" s="21" t="n">
        <f aca="false">'Daily Trade Summary'!N605</f>
        <v>3200.311985</v>
      </c>
      <c r="K31" s="21" t="n">
        <f aca="false">'Daily Trade Summary'!O605</f>
        <v>389.688015</v>
      </c>
      <c r="L31" s="22" t="n">
        <f aca="false">IF($E31=0,"",$K31/$E31)</f>
        <v>4.47368589327801E-005</v>
      </c>
    </row>
    <row r="32" customFormat="false" ht="15" hidden="false" customHeight="false" outlineLevel="0" collapsed="false">
      <c r="A32" s="19" t="n">
        <v>46300</v>
      </c>
      <c r="B32" s="20" t="n">
        <f aca="false">'Daily Trade Summary'!B625</f>
        <v>60000</v>
      </c>
      <c r="C32" s="20" t="n">
        <f aca="false">'Daily Trade Summary'!E625</f>
        <v>60000</v>
      </c>
      <c r="D32" s="20" t="n">
        <f aca="false">'Daily Trade Summary'!I625</f>
        <v>0</v>
      </c>
      <c r="E32" s="21" t="n">
        <f aca="false">'Daily Trade Summary'!C625</f>
        <v>6890615</v>
      </c>
      <c r="F32" s="21" t="n">
        <f aca="false">'Daily Trade Summary'!F625</f>
        <v>6893846.33</v>
      </c>
      <c r="G32" s="21" t="n">
        <f aca="false">'Daily Trade Summary'!J625</f>
        <v>3231.33000000007</v>
      </c>
      <c r="H32" s="21" t="n">
        <f aca="false">'Daily Trade Summary'!L625</f>
        <v>2240.50005725</v>
      </c>
      <c r="I32" s="21" t="n">
        <f aca="false">'Daily Trade Summary'!M625</f>
        <v>291.2650074425</v>
      </c>
      <c r="J32" s="21" t="n">
        <f aca="false">'Daily Trade Summary'!N625</f>
        <v>2531.7650646925</v>
      </c>
      <c r="K32" s="21" t="n">
        <f aca="false">'Daily Trade Summary'!O625</f>
        <v>699.564935307575</v>
      </c>
      <c r="L32" s="22" t="n">
        <f aca="false">IF($E32=0,"",$K32/$E32)</f>
        <v>0.000101524310283999</v>
      </c>
    </row>
    <row r="33" customFormat="false" ht="15" hidden="false" customHeight="false" outlineLevel="0" collapsed="false">
      <c r="A33" s="19" t="n">
        <v>46301</v>
      </c>
      <c r="B33" s="20" t="n">
        <f aca="false">'Daily Trade Summary'!B652</f>
        <v>126235</v>
      </c>
      <c r="C33" s="20" t="n">
        <f aca="false">'Daily Trade Summary'!E652</f>
        <v>126235</v>
      </c>
      <c r="D33" s="20" t="n">
        <f aca="false">'Daily Trade Summary'!I652</f>
        <v>0</v>
      </c>
      <c r="E33" s="21" t="n">
        <f aca="false">'Daily Trade Summary'!C652</f>
        <v>19094353.85</v>
      </c>
      <c r="F33" s="21" t="n">
        <f aca="false">'Daily Trade Summary'!F652</f>
        <v>19099591.11</v>
      </c>
      <c r="G33" s="21" t="n">
        <f aca="false">'Daily Trade Summary'!J652</f>
        <v>5237.25999999978</v>
      </c>
      <c r="H33" s="21" t="n">
        <f aca="false">'Daily Trade Summary'!L652</f>
        <v>5871.66623575</v>
      </c>
      <c r="I33" s="21" t="n">
        <f aca="false">'Daily Trade Summary'!M652</f>
        <v>763.3166106475</v>
      </c>
      <c r="J33" s="21" t="n">
        <f aca="false">'Daily Trade Summary'!N652</f>
        <v>6634.9828463975</v>
      </c>
      <c r="K33" s="21" t="n">
        <f aca="false">'Daily Trade Summary'!O652</f>
        <v>-1397.72284639772</v>
      </c>
      <c r="L33" s="22" t="n">
        <f aca="false">IF($E33=0,"",$K33/$E33)</f>
        <v>-7.32008455157922E-005</v>
      </c>
    </row>
    <row r="34" customFormat="false" ht="15" hidden="false" customHeight="false" outlineLevel="0" collapsed="false">
      <c r="A34" s="19" t="n">
        <v>46302</v>
      </c>
      <c r="B34" s="20" t="n">
        <f aca="false">'Daily Trade Summary'!B678</f>
        <v>114400</v>
      </c>
      <c r="C34" s="20" t="n">
        <f aca="false">'Daily Trade Summary'!E678</f>
        <v>114400</v>
      </c>
      <c r="D34" s="20" t="n">
        <f aca="false">'Daily Trade Summary'!I678</f>
        <v>0</v>
      </c>
      <c r="E34" s="21" t="n">
        <f aca="false">'Daily Trade Summary'!C678</f>
        <v>15990980.2</v>
      </c>
      <c r="F34" s="21" t="n">
        <f aca="false">'Daily Trade Summary'!F678</f>
        <v>16004711.04</v>
      </c>
      <c r="G34" s="21" t="n">
        <f aca="false">'Daily Trade Summary'!J678</f>
        <v>13730.8400000001</v>
      </c>
      <c r="H34" s="21" t="n">
        <f aca="false">'Daily Trade Summary'!L678</f>
        <v>5201.531088</v>
      </c>
      <c r="I34" s="21" t="n">
        <f aca="false">'Daily Trade Summary'!M678</f>
        <v>676.19904144</v>
      </c>
      <c r="J34" s="21" t="n">
        <f aca="false">'Daily Trade Summary'!N678</f>
        <v>5877.73012944</v>
      </c>
      <c r="K34" s="21" t="n">
        <f aca="false">'Daily Trade Summary'!O678</f>
        <v>7853.10987056008</v>
      </c>
      <c r="L34" s="22" t="n">
        <f aca="false">IF($E34=0,"",$K34/$E34)</f>
        <v>0.000491096216263221</v>
      </c>
    </row>
    <row r="35" customFormat="false" ht="15" hidden="false" customHeight="false" outlineLevel="0" collapsed="false">
      <c r="A35" s="19" t="n">
        <v>46303</v>
      </c>
      <c r="B35" s="20" t="n">
        <f aca="false">'Daily Trade Summary'!B700</f>
        <v>62859</v>
      </c>
      <c r="C35" s="20" t="n">
        <f aca="false">'Daily Trade Summary'!E700</f>
        <v>62859</v>
      </c>
      <c r="D35" s="20" t="n">
        <f aca="false">'Daily Trade Summary'!I700</f>
        <v>0</v>
      </c>
      <c r="E35" s="21" t="n">
        <f aca="false">'Daily Trade Summary'!C700</f>
        <v>9701743.2</v>
      </c>
      <c r="F35" s="21" t="n">
        <f aca="false">'Daily Trade Summary'!F700</f>
        <v>9715115.39</v>
      </c>
      <c r="G35" s="21" t="n">
        <f aca="false">'Daily Trade Summary'!J700</f>
        <v>13372.19</v>
      </c>
      <c r="H35" s="21" t="n">
        <f aca="false">'Daily Trade Summary'!L700</f>
        <v>3157.41250175</v>
      </c>
      <c r="I35" s="21" t="n">
        <f aca="false">'Daily Trade Summary'!M700</f>
        <v>410.4636252275</v>
      </c>
      <c r="J35" s="21" t="n">
        <f aca="false">'Daily Trade Summary'!N700</f>
        <v>3567.8761269775</v>
      </c>
      <c r="K35" s="21" t="n">
        <f aca="false">'Daily Trade Summary'!O700</f>
        <v>9804.3138730225</v>
      </c>
      <c r="L35" s="22" t="n">
        <f aca="false">IF($E35=0,"",$K35/$E35)</f>
        <v>0.0010105723962084</v>
      </c>
    </row>
    <row r="36" customFormat="false" ht="15" hidden="false" customHeight="false" outlineLevel="0" collapsed="false">
      <c r="A36" s="19" t="n">
        <v>46304</v>
      </c>
      <c r="B36" s="20" t="n">
        <f aca="false">'Daily Trade Summary'!B718</f>
        <v>28000</v>
      </c>
      <c r="C36" s="20" t="n">
        <f aca="false">'Daily Trade Summary'!E718</f>
        <v>28000</v>
      </c>
      <c r="D36" s="20" t="n">
        <f aca="false">'Daily Trade Summary'!I718</f>
        <v>0</v>
      </c>
      <c r="E36" s="21" t="n">
        <f aca="false">'Daily Trade Summary'!C718</f>
        <v>3975465</v>
      </c>
      <c r="F36" s="21" t="n">
        <f aca="false">'Daily Trade Summary'!F718</f>
        <v>3982225</v>
      </c>
      <c r="G36" s="21" t="n">
        <f aca="false">'Daily Trade Summary'!J718</f>
        <v>6760</v>
      </c>
      <c r="H36" s="21" t="n">
        <f aca="false">'Daily Trade Summary'!L718</f>
        <v>1294.223125</v>
      </c>
      <c r="I36" s="21" t="n">
        <f aca="false">'Daily Trade Summary'!M718</f>
        <v>168.24900625</v>
      </c>
      <c r="J36" s="21" t="n">
        <f aca="false">'Daily Trade Summary'!N718</f>
        <v>1462.47213125</v>
      </c>
      <c r="K36" s="21" t="n">
        <f aca="false">'Daily Trade Summary'!O718</f>
        <v>5297.52786875</v>
      </c>
      <c r="L36" s="22" t="n">
        <f aca="false">IF($E36=0,"",$K36/$E36)</f>
        <v>0.0013325555296676</v>
      </c>
    </row>
    <row r="37" customFormat="false" ht="15" hidden="false" customHeight="false" outlineLevel="0" collapsed="false">
      <c r="A37" s="19" t="n">
        <v>46307</v>
      </c>
      <c r="B37" s="20" t="n">
        <f aca="false">'Daily Trade Summary'!B741</f>
        <v>119500</v>
      </c>
      <c r="C37" s="20" t="n">
        <f aca="false">'Daily Trade Summary'!E741</f>
        <v>119500</v>
      </c>
      <c r="D37" s="20" t="n">
        <f aca="false">'Daily Trade Summary'!I741</f>
        <v>0</v>
      </c>
      <c r="E37" s="21" t="n">
        <f aca="false">'Daily Trade Summary'!C741</f>
        <v>13087568</v>
      </c>
      <c r="F37" s="21" t="n">
        <f aca="false">'Daily Trade Summary'!F741</f>
        <v>13093430</v>
      </c>
      <c r="G37" s="21" t="n">
        <f aca="false">'Daily Trade Summary'!J741</f>
        <v>5862</v>
      </c>
      <c r="H37" s="21" t="n">
        <f aca="false">'Daily Trade Summary'!L741</f>
        <v>4088.782</v>
      </c>
      <c r="I37" s="21" t="n">
        <f aca="false">'Daily Trade Summary'!M741</f>
        <v>531.54166</v>
      </c>
      <c r="J37" s="21" t="n">
        <f aca="false">'Daily Trade Summary'!N741</f>
        <v>4620.32366</v>
      </c>
      <c r="K37" s="21" t="n">
        <f aca="false">'Daily Trade Summary'!O741</f>
        <v>1241.67634</v>
      </c>
      <c r="L37" s="22" t="n">
        <f aca="false">IF($E37=0,"",$K37/$E37)</f>
        <v>9.48744900504051E-005</v>
      </c>
    </row>
    <row r="38" customFormat="false" ht="15" hidden="false" customHeight="false" outlineLevel="0" collapsed="false">
      <c r="A38" s="19" t="n">
        <v>46308</v>
      </c>
      <c r="B38" s="20" t="n">
        <f aca="false">'Daily Trade Summary'!B761</f>
        <v>111000</v>
      </c>
      <c r="C38" s="20" t="n">
        <f aca="false">'Daily Trade Summary'!E761</f>
        <v>111000</v>
      </c>
      <c r="D38" s="20" t="n">
        <f aca="false">'Daily Trade Summary'!I761</f>
        <v>0</v>
      </c>
      <c r="E38" s="21" t="n">
        <f aca="false">'Daily Trade Summary'!C761</f>
        <v>8618263</v>
      </c>
      <c r="F38" s="21" t="n">
        <f aca="false">'Daily Trade Summary'!F761</f>
        <v>8617447</v>
      </c>
      <c r="G38" s="21" t="n">
        <f aca="false">'Daily Trade Summary'!J761</f>
        <v>-816</v>
      </c>
      <c r="H38" s="21" t="n">
        <f aca="false">'Daily Trade Summary'!L761</f>
        <v>2112.74715</v>
      </c>
      <c r="I38" s="21" t="n">
        <f aca="false">'Daily Trade Summary'!M761</f>
        <v>274.6571295</v>
      </c>
      <c r="J38" s="21" t="n">
        <f aca="false">'Daily Trade Summary'!N761</f>
        <v>2387.4042795</v>
      </c>
      <c r="K38" s="21" t="n">
        <f aca="false">'Daily Trade Summary'!O761</f>
        <v>-3203.4042795</v>
      </c>
      <c r="L38" s="22" t="n">
        <f aca="false">IF($E38=0,"",$K38/$E38)</f>
        <v>-0.000371699526865216</v>
      </c>
    </row>
    <row r="39" customFormat="false" ht="15" hidden="false" customHeight="false" outlineLevel="0" collapsed="false">
      <c r="A39" s="19" t="n">
        <v>46310</v>
      </c>
      <c r="B39" s="20" t="n">
        <f aca="false">'Daily Trade Summary'!B782</f>
        <v>72500</v>
      </c>
      <c r="C39" s="20" t="n">
        <f aca="false">'Daily Trade Summary'!E782</f>
        <v>72500</v>
      </c>
      <c r="D39" s="20" t="n">
        <f aca="false">'Daily Trade Summary'!I782</f>
        <v>0</v>
      </c>
      <c r="E39" s="21" t="n">
        <f aca="false">'Daily Trade Summary'!C782</f>
        <v>11671305</v>
      </c>
      <c r="F39" s="21" t="n">
        <f aca="false">'Daily Trade Summary'!F782</f>
        <v>11678640</v>
      </c>
      <c r="G39" s="21" t="n">
        <f aca="false">'Daily Trade Summary'!J782</f>
        <v>7335</v>
      </c>
      <c r="H39" s="21" t="n">
        <f aca="false">'Daily Trade Summary'!L782</f>
        <v>3795.558</v>
      </c>
      <c r="I39" s="21" t="n">
        <f aca="false">'Daily Trade Summary'!M782</f>
        <v>493.42254</v>
      </c>
      <c r="J39" s="21" t="n">
        <f aca="false">'Daily Trade Summary'!N782</f>
        <v>4288.98054</v>
      </c>
      <c r="K39" s="21" t="n">
        <f aca="false">'Daily Trade Summary'!O782</f>
        <v>3046.01946</v>
      </c>
      <c r="L39" s="22" t="n">
        <f aca="false">IF($E39=0,"",$K39/$E39)</f>
        <v>0.000260983622654022</v>
      </c>
    </row>
    <row r="40" customFormat="false" ht="15" hidden="false" customHeight="false" outlineLevel="0" collapsed="false">
      <c r="A40" s="19" t="n">
        <v>46311</v>
      </c>
      <c r="B40" s="20" t="n">
        <f aca="false">'Daily Trade Summary'!B803</f>
        <v>22500</v>
      </c>
      <c r="C40" s="20" t="n">
        <f aca="false">'Daily Trade Summary'!E803</f>
        <v>22500</v>
      </c>
      <c r="D40" s="20" t="n">
        <f aca="false">'Daily Trade Summary'!I803</f>
        <v>0</v>
      </c>
      <c r="E40" s="21" t="n">
        <f aca="false">'Daily Trade Summary'!C803</f>
        <v>4845060</v>
      </c>
      <c r="F40" s="21" t="n">
        <f aca="false">'Daily Trade Summary'!F803</f>
        <v>4855610</v>
      </c>
      <c r="G40" s="21" t="n">
        <f aca="false">'Daily Trade Summary'!J803</f>
        <v>10550</v>
      </c>
      <c r="H40" s="21" t="n">
        <f aca="false">'Daily Trade Summary'!L803</f>
        <v>1578.07325</v>
      </c>
      <c r="I40" s="21" t="n">
        <f aca="false">'Daily Trade Summary'!M803</f>
        <v>205.1495225</v>
      </c>
      <c r="J40" s="21" t="n">
        <f aca="false">'Daily Trade Summary'!N803</f>
        <v>1783.2227725</v>
      </c>
      <c r="K40" s="21" t="n">
        <f aca="false">'Daily Trade Summary'!O803</f>
        <v>8766.7772275</v>
      </c>
      <c r="L40" s="22" t="n">
        <f aca="false">IF($E40=0,"",$K40/$E40)</f>
        <v>0.00180942593641771</v>
      </c>
    </row>
    <row r="41" customFormat="false" ht="15" hidden="false" customHeight="false" outlineLevel="0" collapsed="false">
      <c r="A41" s="23" t="s">
        <v>42</v>
      </c>
      <c r="B41" s="24" t="n">
        <f aca="false">SUM(B5:B40)</f>
        <v>2612821</v>
      </c>
      <c r="C41" s="24" t="n">
        <f aca="false">SUM(C5:C40)</f>
        <v>2612821</v>
      </c>
      <c r="D41" s="24" t="n">
        <f aca="false">$B41-$C41</f>
        <v>0</v>
      </c>
      <c r="E41" s="25" t="n">
        <f aca="false">SUM(E5:E40)</f>
        <v>403231367.88</v>
      </c>
      <c r="F41" s="25" t="n">
        <f aca="false">SUM(F5:F40)</f>
        <v>403570742.02</v>
      </c>
      <c r="G41" s="25" t="n">
        <f aca="false">SUM(G5:G40)</f>
        <v>339374.139999999</v>
      </c>
      <c r="H41" s="25" t="n">
        <f aca="false">SUM(H5:H40)</f>
        <v>129301.3531565</v>
      </c>
      <c r="I41" s="25" t="n">
        <f aca="false">SUM(I5:I40)</f>
        <v>16809.175910345</v>
      </c>
      <c r="J41" s="25" t="n">
        <f aca="false">SUM(J5:J40)</f>
        <v>146110.529066845</v>
      </c>
      <c r="K41" s="25" t="n">
        <f aca="false">SUM(K5:K40)</f>
        <v>193263.610933154</v>
      </c>
      <c r="L41" s="26" t="n">
        <f aca="false">IF($E41=0,"",$K41/$E41)</f>
        <v>0.000479287144621816</v>
      </c>
    </row>
  </sheetData>
  <conditionalFormatting sqref="G5:L41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27" t="n">
        <v>46296</v>
      </c>
    </row>
    <row r="5" customFormat="false" ht="15" hidden="false" customHeight="false" outlineLevel="0" collapsed="false">
      <c r="A5" s="3" t="s">
        <v>46</v>
      </c>
      <c r="B5" s="27" t="n">
        <f aca="false">MAX('Daily Summary'!$A$5:$A$404)</f>
        <v>46311</v>
      </c>
    </row>
    <row r="6" customFormat="false" ht="15" hidden="false" customHeight="false" outlineLevel="0" collapsed="false">
      <c r="A6" s="3" t="s">
        <v>47</v>
      </c>
      <c r="B6" s="27" t="n">
        <f aca="false">IFERROR(IF(INDEX('Daily Summary'!$A$5:$A$404,COUNTIF('Daily Summary'!$A$5:$A$404,"&lt;"&amp;$B$4)+1)&gt;$B$5,"—",INDEX('Daily Summary'!$A$5:$A$404,COUNTIF('Daily Summary'!$A$5:$A$404,"&lt;"&amp;$B$4)+1)),"—")</f>
        <v>46296</v>
      </c>
    </row>
    <row r="7" customFormat="false" ht="15" hidden="false" customHeight="false" outlineLevel="0" collapsed="false">
      <c r="A7" s="3" t="s">
        <v>48</v>
      </c>
      <c r="B7" s="28" t="n">
        <f aca="false">COUNTIFS('Daily Summary'!$A$5:$A$404,"&gt;="&amp;$B$4,'Daily Summary'!$A$5:$A$404,"&lt;="&amp;$B$5)</f>
        <v>11</v>
      </c>
    </row>
    <row r="9" customFormat="false" ht="30" hidden="false" customHeight="true" outlineLevel="0" collapsed="false">
      <c r="A9" s="18" t="s">
        <v>49</v>
      </c>
      <c r="B9" s="18" t="s">
        <v>50</v>
      </c>
    </row>
    <row r="10" customFormat="false" ht="15" hidden="false" customHeight="false" outlineLevel="0" collapsed="false">
      <c r="A10" s="6" t="s">
        <v>51</v>
      </c>
      <c r="B10" s="12" t="n">
        <f aca="false">SUMIFS('Daily Summary'!$B$5:$B$404,'Daily Summary'!$A$5:$A$404,"&gt;="&amp;$B$4,'Daily Summary'!$A$5:$A$404,"&lt;="&amp;$B$5)</f>
        <v>813994</v>
      </c>
    </row>
    <row r="11" customFormat="false" ht="15" hidden="false" customHeight="false" outlineLevel="0" collapsed="false">
      <c r="A11" s="6" t="s">
        <v>52</v>
      </c>
      <c r="B11" s="12" t="n">
        <f aca="false">SUMIFS('Daily Summary'!$C$5:$C$404,'Daily Summary'!$A$5:$A$404,"&gt;="&amp;$B$4,'Daily Summary'!$A$5:$A$404,"&lt;="&amp;$B$5)</f>
        <v>813994</v>
      </c>
    </row>
    <row r="12" customFormat="false" ht="15" hidden="false" customHeight="false" outlineLevel="0" collapsed="false">
      <c r="A12" s="6" t="s">
        <v>53</v>
      </c>
      <c r="B12" s="12" t="n">
        <f aca="false">SUMIFS('Daily Summary'!$D$5:$D$404,'Daily Summary'!$A$5:$A$404,"&gt;="&amp;$B$4,'Daily Summary'!$A$5:$A$404,"&lt;="&amp;$B$5)</f>
        <v>0</v>
      </c>
    </row>
    <row r="13" customFormat="false" ht="15" hidden="false" customHeight="false" outlineLevel="0" collapsed="false">
      <c r="A13" s="6" t="s">
        <v>36</v>
      </c>
      <c r="B13" s="7" t="n">
        <f aca="false">SUMIFS('Daily Summary'!$E$5:$E$404,'Daily Summary'!$A$5:$A$404,"&gt;="&amp;$B$4,'Daily Summary'!$A$5:$A$404,"&lt;="&amp;$B$5)</f>
        <v>112178783.25</v>
      </c>
    </row>
    <row r="14" customFormat="false" ht="15" hidden="false" customHeight="false" outlineLevel="0" collapsed="false">
      <c r="A14" s="6" t="s">
        <v>37</v>
      </c>
      <c r="B14" s="7" t="n">
        <f aca="false">SUMIFS('Daily Summary'!$F$5:$F$404,'Daily Summary'!$A$5:$A$404,"&gt;="&amp;$B$4,'Daily Summary'!$A$5:$A$404,"&lt;="&amp;$B$5)</f>
        <v>112258455.87</v>
      </c>
    </row>
    <row r="15" customFormat="false" ht="15" hidden="false" customHeight="false" outlineLevel="0" collapsed="false">
      <c r="A15" s="6" t="s">
        <v>38</v>
      </c>
      <c r="B15" s="7" t="n">
        <f aca="false">SUMIFS('Daily Summary'!$G$5:$G$404,'Daily Summary'!$A$5:$A$404,"&gt;="&amp;$B$4,'Daily Summary'!$A$5:$A$404,"&lt;="&amp;$B$5)</f>
        <v>79672.6199999999</v>
      </c>
    </row>
    <row r="16" customFormat="false" ht="15" hidden="false" customHeight="false" outlineLevel="0" collapsed="false">
      <c r="A16" s="6" t="s">
        <v>39</v>
      </c>
      <c r="B16" s="7" t="n">
        <f aca="false">SUMIFS('Daily Summary'!$H$5:$H$404,'Daily Summary'!$A$5:$A$404,"&gt;="&amp;$B$4,'Daily Summary'!$A$5:$A$404,"&lt;="&amp;$B$5)</f>
        <v>35293.79140775</v>
      </c>
    </row>
    <row r="17" customFormat="false" ht="15" hidden="false" customHeight="false" outlineLevel="0" collapsed="false">
      <c r="A17" s="6" t="s">
        <v>40</v>
      </c>
      <c r="B17" s="7" t="n">
        <f aca="false">SUMIFS('Daily Summary'!$I$5:$I$404,'Daily Summary'!$A$5:$A$404,"&gt;="&amp;$B$4,'Daily Summary'!$A$5:$A$404,"&lt;="&amp;$B$5)</f>
        <v>4588.1928830075</v>
      </c>
    </row>
    <row r="18" customFormat="false" ht="15" hidden="false" customHeight="false" outlineLevel="0" collapsed="false">
      <c r="A18" s="6" t="s">
        <v>41</v>
      </c>
      <c r="B18" s="7" t="n">
        <f aca="false">SUMIFS('Daily Summary'!$J$5:$J$404,'Daily Summary'!$A$5:$A$404,"&gt;="&amp;$B$4,'Daily Summary'!$A$5:$A$404,"&lt;="&amp;$B$5)</f>
        <v>39881.9842907575</v>
      </c>
    </row>
    <row r="19" customFormat="false" ht="15" hidden="false" customHeight="false" outlineLevel="0" collapsed="false">
      <c r="A19" s="6" t="s">
        <v>7</v>
      </c>
      <c r="B19" s="7" t="n">
        <f aca="false">SUMIFS('Daily Summary'!$K$5:$K$404,'Daily Summary'!$A$5:$A$404,"&gt;="&amp;$B$4,'Daily Summary'!$A$5:$A$404,"&lt;="&amp;$B$5)</f>
        <v>39790.6357092424</v>
      </c>
    </row>
    <row r="20" customFormat="false" ht="15" hidden="false" customHeight="false" outlineLevel="0" collapsed="false">
      <c r="A20" s="29" t="s">
        <v>8</v>
      </c>
      <c r="B20" s="30" t="n">
        <f aca="false">IF($B$13=0,"",$B$19/$B$13)</f>
        <v>0.000354707321263822</v>
      </c>
    </row>
    <row r="22" customFormat="false" ht="15" hidden="false" customHeight="false" outlineLevel="0" collapsed="false">
      <c r="A22" s="31" t="s">
        <v>54</v>
      </c>
    </row>
    <row r="23" customFormat="false" ht="30" hidden="false" customHeight="true" outlineLevel="0" collapsed="false">
      <c r="A23" s="18" t="s">
        <v>32</v>
      </c>
      <c r="B23" s="18" t="s">
        <v>33</v>
      </c>
      <c r="C23" s="18" t="s">
        <v>34</v>
      </c>
      <c r="D23" s="18" t="s">
        <v>35</v>
      </c>
      <c r="E23" s="18" t="s">
        <v>36</v>
      </c>
      <c r="F23" s="18" t="s">
        <v>37</v>
      </c>
      <c r="G23" s="18" t="s">
        <v>38</v>
      </c>
      <c r="H23" s="18" t="s">
        <v>39</v>
      </c>
      <c r="I23" s="18" t="s">
        <v>40</v>
      </c>
      <c r="J23" s="18" t="s">
        <v>41</v>
      </c>
      <c r="K23" s="18" t="s">
        <v>7</v>
      </c>
      <c r="L23" s="18" t="s">
        <v>8</v>
      </c>
    </row>
    <row r="24" customFormat="false" ht="15" hidden="false" customHeight="false" outlineLevel="0" collapsed="false">
      <c r="A24" s="19" t="n">
        <f aca="false">'Daily Summary'!A30</f>
        <v>46296</v>
      </c>
      <c r="B24" s="20" t="n">
        <f aca="false">'Daily Summary'!B30</f>
        <v>61500</v>
      </c>
      <c r="C24" s="20" t="n">
        <f aca="false">'Daily Summary'!C30</f>
        <v>61500</v>
      </c>
      <c r="D24" s="20" t="n">
        <f aca="false">'Daily Summary'!D30</f>
        <v>0</v>
      </c>
      <c r="E24" s="21" t="n">
        <f aca="false">'Daily Summary'!E30</f>
        <v>9592760</v>
      </c>
      <c r="F24" s="21" t="n">
        <f aca="false">'Daily Summary'!F30</f>
        <v>9603580</v>
      </c>
      <c r="G24" s="21" t="n">
        <f aca="false">'Daily Summary'!G30</f>
        <v>10820</v>
      </c>
      <c r="H24" s="21" t="n">
        <f aca="false">'Daily Summary'!H30</f>
        <v>3121.1635</v>
      </c>
      <c r="I24" s="21" t="n">
        <f aca="false">'Daily Summary'!I30</f>
        <v>405.751255</v>
      </c>
      <c r="J24" s="21" t="n">
        <f aca="false">'Daily Summary'!J30</f>
        <v>3526.914755</v>
      </c>
      <c r="K24" s="21" t="n">
        <f aca="false">'Daily Summary'!K30</f>
        <v>7293.085245</v>
      </c>
      <c r="L24" s="22" t="n">
        <f aca="false">'Daily Summary'!L30</f>
        <v>0.000760269749790467</v>
      </c>
    </row>
    <row r="25" customFormat="false" ht="15" hidden="false" customHeight="false" outlineLevel="0" collapsed="false">
      <c r="A25" s="19" t="n">
        <f aca="false">'Daily Summary'!A31</f>
        <v>46297</v>
      </c>
      <c r="B25" s="20" t="n">
        <f aca="false">'Daily Summary'!B31</f>
        <v>35500</v>
      </c>
      <c r="C25" s="20" t="n">
        <f aca="false">'Daily Summary'!C31</f>
        <v>35500</v>
      </c>
      <c r="D25" s="20" t="n">
        <f aca="false">'Daily Summary'!D31</f>
        <v>0</v>
      </c>
      <c r="E25" s="21" t="n">
        <f aca="false">'Daily Summary'!E31</f>
        <v>8710670</v>
      </c>
      <c r="F25" s="21" t="n">
        <f aca="false">'Daily Summary'!F31</f>
        <v>8714260</v>
      </c>
      <c r="G25" s="21" t="n">
        <f aca="false">'Daily Summary'!G31</f>
        <v>3590</v>
      </c>
      <c r="H25" s="21" t="n">
        <f aca="false">'Daily Summary'!H31</f>
        <v>2832.1345</v>
      </c>
      <c r="I25" s="21" t="n">
        <f aca="false">'Daily Summary'!I31</f>
        <v>368.177485</v>
      </c>
      <c r="J25" s="21" t="n">
        <f aca="false">'Daily Summary'!J31</f>
        <v>3200.311985</v>
      </c>
      <c r="K25" s="21" t="n">
        <f aca="false">'Daily Summary'!K31</f>
        <v>389.688015</v>
      </c>
      <c r="L25" s="22" t="n">
        <f aca="false">'Daily Summary'!L31</f>
        <v>4.47368589327801E-005</v>
      </c>
    </row>
    <row r="26" customFormat="false" ht="15" hidden="false" customHeight="false" outlineLevel="0" collapsed="false">
      <c r="A26" s="19" t="n">
        <f aca="false">'Daily Summary'!A32</f>
        <v>46300</v>
      </c>
      <c r="B26" s="20" t="n">
        <f aca="false">'Daily Summary'!B32</f>
        <v>60000</v>
      </c>
      <c r="C26" s="20" t="n">
        <f aca="false">'Daily Summary'!C32</f>
        <v>60000</v>
      </c>
      <c r="D26" s="20" t="n">
        <f aca="false">'Daily Summary'!D32</f>
        <v>0</v>
      </c>
      <c r="E26" s="21" t="n">
        <f aca="false">'Daily Summary'!E32</f>
        <v>6890615</v>
      </c>
      <c r="F26" s="21" t="n">
        <f aca="false">'Daily Summary'!F32</f>
        <v>6893846.33</v>
      </c>
      <c r="G26" s="21" t="n">
        <f aca="false">'Daily Summary'!G32</f>
        <v>3231.33000000007</v>
      </c>
      <c r="H26" s="21" t="n">
        <f aca="false">'Daily Summary'!H32</f>
        <v>2240.50005725</v>
      </c>
      <c r="I26" s="21" t="n">
        <f aca="false">'Daily Summary'!I32</f>
        <v>291.2650074425</v>
      </c>
      <c r="J26" s="21" t="n">
        <f aca="false">'Daily Summary'!J32</f>
        <v>2531.7650646925</v>
      </c>
      <c r="K26" s="21" t="n">
        <f aca="false">'Daily Summary'!K32</f>
        <v>699.564935307575</v>
      </c>
      <c r="L26" s="22" t="n">
        <f aca="false">'Daily Summary'!L32</f>
        <v>0.000101524310283999</v>
      </c>
    </row>
    <row r="27" customFormat="false" ht="15" hidden="false" customHeight="false" outlineLevel="0" collapsed="false">
      <c r="A27" s="19" t="n">
        <f aca="false">'Daily Summary'!A33</f>
        <v>46301</v>
      </c>
      <c r="B27" s="20" t="n">
        <f aca="false">'Daily Summary'!B33</f>
        <v>126235</v>
      </c>
      <c r="C27" s="20" t="n">
        <f aca="false">'Daily Summary'!C33</f>
        <v>126235</v>
      </c>
      <c r="D27" s="20" t="n">
        <f aca="false">'Daily Summary'!D33</f>
        <v>0</v>
      </c>
      <c r="E27" s="21" t="n">
        <f aca="false">'Daily Summary'!E33</f>
        <v>19094353.85</v>
      </c>
      <c r="F27" s="21" t="n">
        <f aca="false">'Daily Summary'!F33</f>
        <v>19099591.11</v>
      </c>
      <c r="G27" s="21" t="n">
        <f aca="false">'Daily Summary'!G33</f>
        <v>5237.25999999978</v>
      </c>
      <c r="H27" s="21" t="n">
        <f aca="false">'Daily Summary'!H33</f>
        <v>5871.66623575</v>
      </c>
      <c r="I27" s="21" t="n">
        <f aca="false">'Daily Summary'!I33</f>
        <v>763.3166106475</v>
      </c>
      <c r="J27" s="21" t="n">
        <f aca="false">'Daily Summary'!J33</f>
        <v>6634.9828463975</v>
      </c>
      <c r="K27" s="21" t="n">
        <f aca="false">'Daily Summary'!K33</f>
        <v>-1397.72284639772</v>
      </c>
      <c r="L27" s="22" t="n">
        <f aca="false">'Daily Summary'!L33</f>
        <v>-7.32008455157922E-005</v>
      </c>
    </row>
    <row r="28" customFormat="false" ht="15" hidden="false" customHeight="false" outlineLevel="0" collapsed="false">
      <c r="A28" s="19" t="n">
        <f aca="false">'Daily Summary'!A34</f>
        <v>46302</v>
      </c>
      <c r="B28" s="20" t="n">
        <f aca="false">'Daily Summary'!B34</f>
        <v>114400</v>
      </c>
      <c r="C28" s="20" t="n">
        <f aca="false">'Daily Summary'!C34</f>
        <v>114400</v>
      </c>
      <c r="D28" s="20" t="n">
        <f aca="false">'Daily Summary'!D34</f>
        <v>0</v>
      </c>
      <c r="E28" s="21" t="n">
        <f aca="false">'Daily Summary'!E34</f>
        <v>15990980.2</v>
      </c>
      <c r="F28" s="21" t="n">
        <f aca="false">'Daily Summary'!F34</f>
        <v>16004711.04</v>
      </c>
      <c r="G28" s="21" t="n">
        <f aca="false">'Daily Summary'!G34</f>
        <v>13730.8400000001</v>
      </c>
      <c r="H28" s="21" t="n">
        <f aca="false">'Daily Summary'!H34</f>
        <v>5201.531088</v>
      </c>
      <c r="I28" s="21" t="n">
        <f aca="false">'Daily Summary'!I34</f>
        <v>676.19904144</v>
      </c>
      <c r="J28" s="21" t="n">
        <f aca="false">'Daily Summary'!J34</f>
        <v>5877.73012944</v>
      </c>
      <c r="K28" s="21" t="n">
        <f aca="false">'Daily Summary'!K34</f>
        <v>7853.10987056008</v>
      </c>
      <c r="L28" s="22" t="n">
        <f aca="false">'Daily Summary'!L34</f>
        <v>0.000491096216263221</v>
      </c>
    </row>
    <row r="29" customFormat="false" ht="15" hidden="false" customHeight="false" outlineLevel="0" collapsed="false">
      <c r="A29" s="19" t="n">
        <f aca="false">'Daily Summary'!A35</f>
        <v>46303</v>
      </c>
      <c r="B29" s="20" t="n">
        <f aca="false">'Daily Summary'!B35</f>
        <v>62859</v>
      </c>
      <c r="C29" s="20" t="n">
        <f aca="false">'Daily Summary'!C35</f>
        <v>62859</v>
      </c>
      <c r="D29" s="20" t="n">
        <f aca="false">'Daily Summary'!D35</f>
        <v>0</v>
      </c>
      <c r="E29" s="21" t="n">
        <f aca="false">'Daily Summary'!E35</f>
        <v>9701743.2</v>
      </c>
      <c r="F29" s="21" t="n">
        <f aca="false">'Daily Summary'!F35</f>
        <v>9715115.39</v>
      </c>
      <c r="G29" s="21" t="n">
        <f aca="false">'Daily Summary'!G35</f>
        <v>13372.19</v>
      </c>
      <c r="H29" s="21" t="n">
        <f aca="false">'Daily Summary'!H35</f>
        <v>3157.41250175</v>
      </c>
      <c r="I29" s="21" t="n">
        <f aca="false">'Daily Summary'!I35</f>
        <v>410.4636252275</v>
      </c>
      <c r="J29" s="21" t="n">
        <f aca="false">'Daily Summary'!J35</f>
        <v>3567.8761269775</v>
      </c>
      <c r="K29" s="21" t="n">
        <f aca="false">'Daily Summary'!K35</f>
        <v>9804.3138730225</v>
      </c>
      <c r="L29" s="22" t="n">
        <f aca="false">'Daily Summary'!L35</f>
        <v>0.0010105723962084</v>
      </c>
    </row>
    <row r="30" customFormat="false" ht="15" hidden="false" customHeight="false" outlineLevel="0" collapsed="false">
      <c r="A30" s="19" t="n">
        <f aca="false">'Daily Summary'!A36</f>
        <v>46304</v>
      </c>
      <c r="B30" s="20" t="n">
        <f aca="false">'Daily Summary'!B36</f>
        <v>28000</v>
      </c>
      <c r="C30" s="20" t="n">
        <f aca="false">'Daily Summary'!C36</f>
        <v>28000</v>
      </c>
      <c r="D30" s="20" t="n">
        <f aca="false">'Daily Summary'!D36</f>
        <v>0</v>
      </c>
      <c r="E30" s="21" t="n">
        <f aca="false">'Daily Summary'!E36</f>
        <v>3975465</v>
      </c>
      <c r="F30" s="21" t="n">
        <f aca="false">'Daily Summary'!F36</f>
        <v>3982225</v>
      </c>
      <c r="G30" s="21" t="n">
        <f aca="false">'Daily Summary'!G36</f>
        <v>6760</v>
      </c>
      <c r="H30" s="21" t="n">
        <f aca="false">'Daily Summary'!H36</f>
        <v>1294.223125</v>
      </c>
      <c r="I30" s="21" t="n">
        <f aca="false">'Daily Summary'!I36</f>
        <v>168.24900625</v>
      </c>
      <c r="J30" s="21" t="n">
        <f aca="false">'Daily Summary'!J36</f>
        <v>1462.47213125</v>
      </c>
      <c r="K30" s="21" t="n">
        <f aca="false">'Daily Summary'!K36</f>
        <v>5297.52786875</v>
      </c>
      <c r="L30" s="22" t="n">
        <f aca="false">'Daily Summary'!L36</f>
        <v>0.0013325555296676</v>
      </c>
    </row>
    <row r="31" customFormat="false" ht="15" hidden="false" customHeight="false" outlineLevel="0" collapsed="false">
      <c r="A31" s="19" t="n">
        <f aca="false">'Daily Summary'!A37</f>
        <v>46307</v>
      </c>
      <c r="B31" s="20" t="n">
        <f aca="false">'Daily Summary'!B37</f>
        <v>119500</v>
      </c>
      <c r="C31" s="20" t="n">
        <f aca="false">'Daily Summary'!C37</f>
        <v>119500</v>
      </c>
      <c r="D31" s="20" t="n">
        <f aca="false">'Daily Summary'!D37</f>
        <v>0</v>
      </c>
      <c r="E31" s="21" t="n">
        <f aca="false">'Daily Summary'!E37</f>
        <v>13087568</v>
      </c>
      <c r="F31" s="21" t="n">
        <f aca="false">'Daily Summary'!F37</f>
        <v>13093430</v>
      </c>
      <c r="G31" s="21" t="n">
        <f aca="false">'Daily Summary'!G37</f>
        <v>5862</v>
      </c>
      <c r="H31" s="21" t="n">
        <f aca="false">'Daily Summary'!H37</f>
        <v>4088.782</v>
      </c>
      <c r="I31" s="21" t="n">
        <f aca="false">'Daily Summary'!I37</f>
        <v>531.54166</v>
      </c>
      <c r="J31" s="21" t="n">
        <f aca="false">'Daily Summary'!J37</f>
        <v>4620.32366</v>
      </c>
      <c r="K31" s="21" t="n">
        <f aca="false">'Daily Summary'!K37</f>
        <v>1241.67634</v>
      </c>
      <c r="L31" s="22" t="n">
        <f aca="false">'Daily Summary'!L37</f>
        <v>9.48744900504051E-005</v>
      </c>
    </row>
    <row r="32" customFormat="false" ht="15" hidden="false" customHeight="false" outlineLevel="0" collapsed="false">
      <c r="A32" s="19" t="n">
        <f aca="false">'Daily Summary'!A38</f>
        <v>46308</v>
      </c>
      <c r="B32" s="20" t="n">
        <f aca="false">'Daily Summary'!B38</f>
        <v>111000</v>
      </c>
      <c r="C32" s="20" t="n">
        <f aca="false">'Daily Summary'!C38</f>
        <v>111000</v>
      </c>
      <c r="D32" s="20" t="n">
        <f aca="false">'Daily Summary'!D38</f>
        <v>0</v>
      </c>
      <c r="E32" s="21" t="n">
        <f aca="false">'Daily Summary'!E38</f>
        <v>8618263</v>
      </c>
      <c r="F32" s="21" t="n">
        <f aca="false">'Daily Summary'!F38</f>
        <v>8617447</v>
      </c>
      <c r="G32" s="21" t="n">
        <f aca="false">'Daily Summary'!G38</f>
        <v>-816</v>
      </c>
      <c r="H32" s="21" t="n">
        <f aca="false">'Daily Summary'!H38</f>
        <v>2112.74715</v>
      </c>
      <c r="I32" s="21" t="n">
        <f aca="false">'Daily Summary'!I38</f>
        <v>274.6571295</v>
      </c>
      <c r="J32" s="21" t="n">
        <f aca="false">'Daily Summary'!J38</f>
        <v>2387.4042795</v>
      </c>
      <c r="K32" s="21" t="n">
        <f aca="false">'Daily Summary'!K38</f>
        <v>-3203.4042795</v>
      </c>
      <c r="L32" s="22" t="n">
        <f aca="false">'Daily Summary'!L38</f>
        <v>-0.000371699526865216</v>
      </c>
    </row>
    <row r="33" customFormat="false" ht="15" hidden="false" customHeight="false" outlineLevel="0" collapsed="false">
      <c r="A33" s="19" t="n">
        <f aca="false">'Daily Summary'!A39</f>
        <v>46310</v>
      </c>
      <c r="B33" s="20" t="n">
        <f aca="false">'Daily Summary'!B39</f>
        <v>72500</v>
      </c>
      <c r="C33" s="20" t="n">
        <f aca="false">'Daily Summary'!C39</f>
        <v>72500</v>
      </c>
      <c r="D33" s="20" t="n">
        <f aca="false">'Daily Summary'!D39</f>
        <v>0</v>
      </c>
      <c r="E33" s="21" t="n">
        <f aca="false">'Daily Summary'!E39</f>
        <v>11671305</v>
      </c>
      <c r="F33" s="21" t="n">
        <f aca="false">'Daily Summary'!F39</f>
        <v>11678640</v>
      </c>
      <c r="G33" s="21" t="n">
        <f aca="false">'Daily Summary'!G39</f>
        <v>7335</v>
      </c>
      <c r="H33" s="21" t="n">
        <f aca="false">'Daily Summary'!H39</f>
        <v>3795.558</v>
      </c>
      <c r="I33" s="21" t="n">
        <f aca="false">'Daily Summary'!I39</f>
        <v>493.42254</v>
      </c>
      <c r="J33" s="21" t="n">
        <f aca="false">'Daily Summary'!J39</f>
        <v>4288.98054</v>
      </c>
      <c r="K33" s="21" t="n">
        <f aca="false">'Daily Summary'!K39</f>
        <v>3046.01946</v>
      </c>
      <c r="L33" s="22" t="n">
        <f aca="false">'Daily Summary'!L39</f>
        <v>0.000260983622654022</v>
      </c>
    </row>
    <row r="34" customFormat="false" ht="15" hidden="false" customHeight="false" outlineLevel="0" collapsed="false">
      <c r="A34" s="19" t="n">
        <f aca="false">'Daily Summary'!A40</f>
        <v>46311</v>
      </c>
      <c r="B34" s="20" t="n">
        <f aca="false">'Daily Summary'!B40</f>
        <v>22500</v>
      </c>
      <c r="C34" s="20" t="n">
        <f aca="false">'Daily Summary'!C40</f>
        <v>22500</v>
      </c>
      <c r="D34" s="20" t="n">
        <f aca="false">'Daily Summary'!D40</f>
        <v>0</v>
      </c>
      <c r="E34" s="21" t="n">
        <f aca="false">'Daily Summary'!E40</f>
        <v>4845060</v>
      </c>
      <c r="F34" s="21" t="n">
        <f aca="false">'Daily Summary'!F40</f>
        <v>4855610</v>
      </c>
      <c r="G34" s="21" t="n">
        <f aca="false">'Daily Summary'!G40</f>
        <v>10550</v>
      </c>
      <c r="H34" s="21" t="n">
        <f aca="false">'Daily Summary'!H40</f>
        <v>1578.07325</v>
      </c>
      <c r="I34" s="21" t="n">
        <f aca="false">'Daily Summary'!I40</f>
        <v>205.1495225</v>
      </c>
      <c r="J34" s="21" t="n">
        <f aca="false">'Daily Summary'!J40</f>
        <v>1783.2227725</v>
      </c>
      <c r="K34" s="21" t="n">
        <f aca="false">'Daily Summary'!K40</f>
        <v>8766.7772275</v>
      </c>
      <c r="L34" s="22" t="n">
        <f aca="false">'Daily Summary'!L40</f>
        <v>0.00180942593641771</v>
      </c>
    </row>
    <row r="35" customFormat="false" ht="15" hidden="false" customHeight="false" outlineLevel="0" collapsed="false">
      <c r="A35" s="23" t="s">
        <v>42</v>
      </c>
      <c r="B35" s="24" t="n">
        <f aca="false">SUM(B24:B34)</f>
        <v>813994</v>
      </c>
      <c r="C35" s="24" t="n">
        <f aca="false">SUM(C24:C34)</f>
        <v>813994</v>
      </c>
      <c r="D35" s="24" t="n">
        <f aca="false">$B35-$C35</f>
        <v>0</v>
      </c>
      <c r="E35" s="25" t="n">
        <f aca="false">SUM(E24:E34)</f>
        <v>112178783.25</v>
      </c>
      <c r="F35" s="25" t="n">
        <f aca="false">SUM(F24:F34)</f>
        <v>112258455.87</v>
      </c>
      <c r="G35" s="25" t="n">
        <f aca="false">SUM(G24:G34)</f>
        <v>79672.6199999999</v>
      </c>
      <c r="H35" s="25" t="n">
        <f aca="false">SUM(H24:H34)</f>
        <v>35293.79140775</v>
      </c>
      <c r="I35" s="25" t="n">
        <f aca="false">SUM(I24:I34)</f>
        <v>4588.1928830075</v>
      </c>
      <c r="J35" s="25" t="n">
        <f aca="false">SUM(J24:J34)</f>
        <v>39881.9842907575</v>
      </c>
      <c r="K35" s="25" t="n">
        <f aca="false">SUM(K24:K34)</f>
        <v>39790.6357092424</v>
      </c>
      <c r="L35" s="26" t="n">
        <f aca="false">IF($E35=0,"",$K35/$E35)</f>
        <v>0.000354707321263822</v>
      </c>
    </row>
  </sheetData>
  <conditionalFormatting sqref="G24:L35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B15:B20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27" t="n">
        <v>46296</v>
      </c>
    </row>
    <row r="5" customFormat="false" ht="15" hidden="false" customHeight="false" outlineLevel="0" collapsed="false">
      <c r="A5" s="3" t="s">
        <v>46</v>
      </c>
      <c r="B5" s="27" t="n">
        <f aca="false">MAX('Daily Summary'!$A$5:$A$404)</f>
        <v>46311</v>
      </c>
    </row>
    <row r="6" customFormat="false" ht="15" hidden="false" customHeight="false" outlineLevel="0" collapsed="false">
      <c r="A6" s="3" t="s">
        <v>47</v>
      </c>
      <c r="B6" s="27" t="n">
        <f aca="false">IFERROR(IF(INDEX('Daily Summary'!$A$5:$A$404,COUNTIF('Daily Summary'!$A$5:$A$404,"&lt;"&amp;$B$4)+1)&gt;$B$5,"—",INDEX('Daily Summary'!$A$5:$A$404,COUNTIF('Daily Summary'!$A$5:$A$404,"&lt;"&amp;$B$4)+1)),"—")</f>
        <v>46296</v>
      </c>
    </row>
    <row r="7" customFormat="false" ht="15" hidden="false" customHeight="false" outlineLevel="0" collapsed="false">
      <c r="A7" s="3" t="s">
        <v>48</v>
      </c>
      <c r="B7" s="28" t="n">
        <f aca="false">COUNTIFS('Daily Summary'!$A$5:$A$404,"&gt;="&amp;$B$4,'Daily Summary'!$A$5:$A$404,"&lt;="&amp;$B$5)</f>
        <v>11</v>
      </c>
    </row>
    <row r="9" customFormat="false" ht="30" hidden="false" customHeight="true" outlineLevel="0" collapsed="false">
      <c r="A9" s="18" t="s">
        <v>49</v>
      </c>
      <c r="B9" s="18" t="s">
        <v>50</v>
      </c>
    </row>
    <row r="10" customFormat="false" ht="15" hidden="false" customHeight="false" outlineLevel="0" collapsed="false">
      <c r="A10" s="6" t="s">
        <v>51</v>
      </c>
      <c r="B10" s="12" t="n">
        <f aca="false">SUMIFS('Daily Summary'!$B$5:$B$404,'Daily Summary'!$A$5:$A$404,"&gt;="&amp;$B$4,'Daily Summary'!$A$5:$A$404,"&lt;="&amp;$B$5)</f>
        <v>813994</v>
      </c>
    </row>
    <row r="11" customFormat="false" ht="15" hidden="false" customHeight="false" outlineLevel="0" collapsed="false">
      <c r="A11" s="6" t="s">
        <v>52</v>
      </c>
      <c r="B11" s="12" t="n">
        <f aca="false">SUMIFS('Daily Summary'!$C$5:$C$404,'Daily Summary'!$A$5:$A$404,"&gt;="&amp;$B$4,'Daily Summary'!$A$5:$A$404,"&lt;="&amp;$B$5)</f>
        <v>813994</v>
      </c>
    </row>
    <row r="12" customFormat="false" ht="15" hidden="false" customHeight="false" outlineLevel="0" collapsed="false">
      <c r="A12" s="6" t="s">
        <v>53</v>
      </c>
      <c r="B12" s="12" t="n">
        <f aca="false">SUMIFS('Daily Summary'!$D$5:$D$404,'Daily Summary'!$A$5:$A$404,"&gt;="&amp;$B$4,'Daily Summary'!$A$5:$A$404,"&lt;="&amp;$B$5)</f>
        <v>0</v>
      </c>
    </row>
    <row r="13" customFormat="false" ht="15" hidden="false" customHeight="false" outlineLevel="0" collapsed="false">
      <c r="A13" s="6" t="s">
        <v>36</v>
      </c>
      <c r="B13" s="7" t="n">
        <f aca="false">SUMIFS('Daily Summary'!$E$5:$E$404,'Daily Summary'!$A$5:$A$404,"&gt;="&amp;$B$4,'Daily Summary'!$A$5:$A$404,"&lt;="&amp;$B$5)</f>
        <v>112178783.25</v>
      </c>
    </row>
    <row r="14" customFormat="false" ht="15" hidden="false" customHeight="false" outlineLevel="0" collapsed="false">
      <c r="A14" s="6" t="s">
        <v>37</v>
      </c>
      <c r="B14" s="7" t="n">
        <f aca="false">SUMIFS('Daily Summary'!$F$5:$F$404,'Daily Summary'!$A$5:$A$404,"&gt;="&amp;$B$4,'Daily Summary'!$A$5:$A$404,"&lt;="&amp;$B$5)</f>
        <v>112258455.87</v>
      </c>
    </row>
    <row r="15" customFormat="false" ht="15" hidden="false" customHeight="false" outlineLevel="0" collapsed="false">
      <c r="A15" s="6" t="s">
        <v>38</v>
      </c>
      <c r="B15" s="7" t="n">
        <f aca="false">SUMIFS('Daily Summary'!$G$5:$G$404,'Daily Summary'!$A$5:$A$404,"&gt;="&amp;$B$4,'Daily Summary'!$A$5:$A$404,"&lt;="&amp;$B$5)</f>
        <v>79672.6199999999</v>
      </c>
    </row>
    <row r="16" customFormat="false" ht="15" hidden="false" customHeight="false" outlineLevel="0" collapsed="false">
      <c r="A16" s="6" t="s">
        <v>39</v>
      </c>
      <c r="B16" s="7" t="n">
        <f aca="false">SUMIFS('Daily Summary'!$H$5:$H$404,'Daily Summary'!$A$5:$A$404,"&gt;="&amp;$B$4,'Daily Summary'!$A$5:$A$404,"&lt;="&amp;$B$5)</f>
        <v>35293.79140775</v>
      </c>
    </row>
    <row r="17" customFormat="false" ht="15" hidden="false" customHeight="false" outlineLevel="0" collapsed="false">
      <c r="A17" s="6" t="s">
        <v>40</v>
      </c>
      <c r="B17" s="7" t="n">
        <f aca="false">SUMIFS('Daily Summary'!$I$5:$I$404,'Daily Summary'!$A$5:$A$404,"&gt;="&amp;$B$4,'Daily Summary'!$A$5:$A$404,"&lt;="&amp;$B$5)</f>
        <v>4588.1928830075</v>
      </c>
    </row>
    <row r="18" customFormat="false" ht="15" hidden="false" customHeight="false" outlineLevel="0" collapsed="false">
      <c r="A18" s="6" t="s">
        <v>41</v>
      </c>
      <c r="B18" s="7" t="n">
        <f aca="false">SUMIFS('Daily Summary'!$J$5:$J$404,'Daily Summary'!$A$5:$A$404,"&gt;="&amp;$B$4,'Daily Summary'!$A$5:$A$404,"&lt;="&amp;$B$5)</f>
        <v>39881.9842907575</v>
      </c>
    </row>
    <row r="19" customFormat="false" ht="15" hidden="false" customHeight="false" outlineLevel="0" collapsed="false">
      <c r="A19" s="6" t="s">
        <v>7</v>
      </c>
      <c r="B19" s="7" t="n">
        <f aca="false">SUMIFS('Daily Summary'!$K$5:$K$404,'Daily Summary'!$A$5:$A$404,"&gt;="&amp;$B$4,'Daily Summary'!$A$5:$A$404,"&lt;="&amp;$B$5)</f>
        <v>39790.6357092424</v>
      </c>
    </row>
    <row r="20" customFormat="false" ht="15" hidden="false" customHeight="false" outlineLevel="0" collapsed="false">
      <c r="A20" s="29" t="s">
        <v>8</v>
      </c>
      <c r="B20" s="30" t="n">
        <f aca="false">IF($B$13=0,"",$B$19/$B$13)</f>
        <v>0.000354707321263822</v>
      </c>
    </row>
    <row r="22" customFormat="false" ht="15" hidden="false" customHeight="false" outlineLevel="0" collapsed="false">
      <c r="A22" s="31" t="s">
        <v>54</v>
      </c>
    </row>
    <row r="23" customFormat="false" ht="30" hidden="false" customHeight="true" outlineLevel="0" collapsed="false">
      <c r="A23" s="18" t="s">
        <v>32</v>
      </c>
      <c r="B23" s="18" t="s">
        <v>33</v>
      </c>
      <c r="C23" s="18" t="s">
        <v>34</v>
      </c>
      <c r="D23" s="18" t="s">
        <v>35</v>
      </c>
      <c r="E23" s="18" t="s">
        <v>36</v>
      </c>
      <c r="F23" s="18" t="s">
        <v>37</v>
      </c>
      <c r="G23" s="18" t="s">
        <v>38</v>
      </c>
      <c r="H23" s="18" t="s">
        <v>39</v>
      </c>
      <c r="I23" s="18" t="s">
        <v>40</v>
      </c>
      <c r="J23" s="18" t="s">
        <v>41</v>
      </c>
      <c r="K23" s="18" t="s">
        <v>7</v>
      </c>
      <c r="L23" s="18" t="s">
        <v>8</v>
      </c>
    </row>
    <row r="24" customFormat="false" ht="15" hidden="false" customHeight="false" outlineLevel="0" collapsed="false">
      <c r="A24" s="19" t="n">
        <f aca="false">'Daily Summary'!A30</f>
        <v>46296</v>
      </c>
      <c r="B24" s="20" t="n">
        <f aca="false">'Daily Summary'!B30</f>
        <v>61500</v>
      </c>
      <c r="C24" s="20" t="n">
        <f aca="false">'Daily Summary'!C30</f>
        <v>61500</v>
      </c>
      <c r="D24" s="20" t="n">
        <f aca="false">'Daily Summary'!D30</f>
        <v>0</v>
      </c>
      <c r="E24" s="21" t="n">
        <f aca="false">'Daily Summary'!E30</f>
        <v>9592760</v>
      </c>
      <c r="F24" s="21" t="n">
        <f aca="false">'Daily Summary'!F30</f>
        <v>9603580</v>
      </c>
      <c r="G24" s="21" t="n">
        <f aca="false">'Daily Summary'!G30</f>
        <v>10820</v>
      </c>
      <c r="H24" s="21" t="n">
        <f aca="false">'Daily Summary'!H30</f>
        <v>3121.1635</v>
      </c>
      <c r="I24" s="21" t="n">
        <f aca="false">'Daily Summary'!I30</f>
        <v>405.751255</v>
      </c>
      <c r="J24" s="21" t="n">
        <f aca="false">'Daily Summary'!J30</f>
        <v>3526.914755</v>
      </c>
      <c r="K24" s="21" t="n">
        <f aca="false">'Daily Summary'!K30</f>
        <v>7293.085245</v>
      </c>
      <c r="L24" s="22" t="n">
        <f aca="false">'Daily Summary'!L30</f>
        <v>0.000760269749790467</v>
      </c>
    </row>
    <row r="25" customFormat="false" ht="15" hidden="false" customHeight="false" outlineLevel="0" collapsed="false">
      <c r="A25" s="19" t="n">
        <f aca="false">'Daily Summary'!A31</f>
        <v>46297</v>
      </c>
      <c r="B25" s="20" t="n">
        <f aca="false">'Daily Summary'!B31</f>
        <v>35500</v>
      </c>
      <c r="C25" s="20" t="n">
        <f aca="false">'Daily Summary'!C31</f>
        <v>35500</v>
      </c>
      <c r="D25" s="20" t="n">
        <f aca="false">'Daily Summary'!D31</f>
        <v>0</v>
      </c>
      <c r="E25" s="21" t="n">
        <f aca="false">'Daily Summary'!E31</f>
        <v>8710670</v>
      </c>
      <c r="F25" s="21" t="n">
        <f aca="false">'Daily Summary'!F31</f>
        <v>8714260</v>
      </c>
      <c r="G25" s="21" t="n">
        <f aca="false">'Daily Summary'!G31</f>
        <v>3590</v>
      </c>
      <c r="H25" s="21" t="n">
        <f aca="false">'Daily Summary'!H31</f>
        <v>2832.1345</v>
      </c>
      <c r="I25" s="21" t="n">
        <f aca="false">'Daily Summary'!I31</f>
        <v>368.177485</v>
      </c>
      <c r="J25" s="21" t="n">
        <f aca="false">'Daily Summary'!J31</f>
        <v>3200.311985</v>
      </c>
      <c r="K25" s="21" t="n">
        <f aca="false">'Daily Summary'!K31</f>
        <v>389.688015</v>
      </c>
      <c r="L25" s="22" t="n">
        <f aca="false">'Daily Summary'!L31</f>
        <v>4.47368589327801E-005</v>
      </c>
    </row>
    <row r="26" customFormat="false" ht="15" hidden="false" customHeight="false" outlineLevel="0" collapsed="false">
      <c r="A26" s="19" t="n">
        <f aca="false">'Daily Summary'!A32</f>
        <v>46300</v>
      </c>
      <c r="B26" s="20" t="n">
        <f aca="false">'Daily Summary'!B32</f>
        <v>60000</v>
      </c>
      <c r="C26" s="20" t="n">
        <f aca="false">'Daily Summary'!C32</f>
        <v>60000</v>
      </c>
      <c r="D26" s="20" t="n">
        <f aca="false">'Daily Summary'!D32</f>
        <v>0</v>
      </c>
      <c r="E26" s="21" t="n">
        <f aca="false">'Daily Summary'!E32</f>
        <v>6890615</v>
      </c>
      <c r="F26" s="21" t="n">
        <f aca="false">'Daily Summary'!F32</f>
        <v>6893846.33</v>
      </c>
      <c r="G26" s="21" t="n">
        <f aca="false">'Daily Summary'!G32</f>
        <v>3231.33000000007</v>
      </c>
      <c r="H26" s="21" t="n">
        <f aca="false">'Daily Summary'!H32</f>
        <v>2240.50005725</v>
      </c>
      <c r="I26" s="21" t="n">
        <f aca="false">'Daily Summary'!I32</f>
        <v>291.2650074425</v>
      </c>
      <c r="J26" s="21" t="n">
        <f aca="false">'Daily Summary'!J32</f>
        <v>2531.7650646925</v>
      </c>
      <c r="K26" s="21" t="n">
        <f aca="false">'Daily Summary'!K32</f>
        <v>699.564935307575</v>
      </c>
      <c r="L26" s="22" t="n">
        <f aca="false">'Daily Summary'!L32</f>
        <v>0.000101524310283999</v>
      </c>
    </row>
    <row r="27" customFormat="false" ht="15" hidden="false" customHeight="false" outlineLevel="0" collapsed="false">
      <c r="A27" s="19" t="n">
        <f aca="false">'Daily Summary'!A33</f>
        <v>46301</v>
      </c>
      <c r="B27" s="20" t="n">
        <f aca="false">'Daily Summary'!B33</f>
        <v>126235</v>
      </c>
      <c r="C27" s="20" t="n">
        <f aca="false">'Daily Summary'!C33</f>
        <v>126235</v>
      </c>
      <c r="D27" s="20" t="n">
        <f aca="false">'Daily Summary'!D33</f>
        <v>0</v>
      </c>
      <c r="E27" s="21" t="n">
        <f aca="false">'Daily Summary'!E33</f>
        <v>19094353.85</v>
      </c>
      <c r="F27" s="21" t="n">
        <f aca="false">'Daily Summary'!F33</f>
        <v>19099591.11</v>
      </c>
      <c r="G27" s="21" t="n">
        <f aca="false">'Daily Summary'!G33</f>
        <v>5237.25999999978</v>
      </c>
      <c r="H27" s="21" t="n">
        <f aca="false">'Daily Summary'!H33</f>
        <v>5871.66623575</v>
      </c>
      <c r="I27" s="21" t="n">
        <f aca="false">'Daily Summary'!I33</f>
        <v>763.3166106475</v>
      </c>
      <c r="J27" s="21" t="n">
        <f aca="false">'Daily Summary'!J33</f>
        <v>6634.9828463975</v>
      </c>
      <c r="K27" s="21" t="n">
        <f aca="false">'Daily Summary'!K33</f>
        <v>-1397.72284639772</v>
      </c>
      <c r="L27" s="22" t="n">
        <f aca="false">'Daily Summary'!L33</f>
        <v>-7.32008455157922E-005</v>
      </c>
    </row>
    <row r="28" customFormat="false" ht="15" hidden="false" customHeight="false" outlineLevel="0" collapsed="false">
      <c r="A28" s="19" t="n">
        <f aca="false">'Daily Summary'!A34</f>
        <v>46302</v>
      </c>
      <c r="B28" s="20" t="n">
        <f aca="false">'Daily Summary'!B34</f>
        <v>114400</v>
      </c>
      <c r="C28" s="20" t="n">
        <f aca="false">'Daily Summary'!C34</f>
        <v>114400</v>
      </c>
      <c r="D28" s="20" t="n">
        <f aca="false">'Daily Summary'!D34</f>
        <v>0</v>
      </c>
      <c r="E28" s="21" t="n">
        <f aca="false">'Daily Summary'!E34</f>
        <v>15990980.2</v>
      </c>
      <c r="F28" s="21" t="n">
        <f aca="false">'Daily Summary'!F34</f>
        <v>16004711.04</v>
      </c>
      <c r="G28" s="21" t="n">
        <f aca="false">'Daily Summary'!G34</f>
        <v>13730.8400000001</v>
      </c>
      <c r="H28" s="21" t="n">
        <f aca="false">'Daily Summary'!H34</f>
        <v>5201.531088</v>
      </c>
      <c r="I28" s="21" t="n">
        <f aca="false">'Daily Summary'!I34</f>
        <v>676.19904144</v>
      </c>
      <c r="J28" s="21" t="n">
        <f aca="false">'Daily Summary'!J34</f>
        <v>5877.73012944</v>
      </c>
      <c r="K28" s="21" t="n">
        <f aca="false">'Daily Summary'!K34</f>
        <v>7853.10987056008</v>
      </c>
      <c r="L28" s="22" t="n">
        <f aca="false">'Daily Summary'!L34</f>
        <v>0.000491096216263221</v>
      </c>
    </row>
    <row r="29" customFormat="false" ht="15" hidden="false" customHeight="false" outlineLevel="0" collapsed="false">
      <c r="A29" s="19" t="n">
        <f aca="false">'Daily Summary'!A35</f>
        <v>46303</v>
      </c>
      <c r="B29" s="20" t="n">
        <f aca="false">'Daily Summary'!B35</f>
        <v>62859</v>
      </c>
      <c r="C29" s="20" t="n">
        <f aca="false">'Daily Summary'!C35</f>
        <v>62859</v>
      </c>
      <c r="D29" s="20" t="n">
        <f aca="false">'Daily Summary'!D35</f>
        <v>0</v>
      </c>
      <c r="E29" s="21" t="n">
        <f aca="false">'Daily Summary'!E35</f>
        <v>9701743.2</v>
      </c>
      <c r="F29" s="21" t="n">
        <f aca="false">'Daily Summary'!F35</f>
        <v>9715115.39</v>
      </c>
      <c r="G29" s="21" t="n">
        <f aca="false">'Daily Summary'!G35</f>
        <v>13372.19</v>
      </c>
      <c r="H29" s="21" t="n">
        <f aca="false">'Daily Summary'!H35</f>
        <v>3157.41250175</v>
      </c>
      <c r="I29" s="21" t="n">
        <f aca="false">'Daily Summary'!I35</f>
        <v>410.4636252275</v>
      </c>
      <c r="J29" s="21" t="n">
        <f aca="false">'Daily Summary'!J35</f>
        <v>3567.8761269775</v>
      </c>
      <c r="K29" s="21" t="n">
        <f aca="false">'Daily Summary'!K35</f>
        <v>9804.3138730225</v>
      </c>
      <c r="L29" s="22" t="n">
        <f aca="false">'Daily Summary'!L35</f>
        <v>0.0010105723962084</v>
      </c>
    </row>
    <row r="30" customFormat="false" ht="15" hidden="false" customHeight="false" outlineLevel="0" collapsed="false">
      <c r="A30" s="19" t="n">
        <f aca="false">'Daily Summary'!A36</f>
        <v>46304</v>
      </c>
      <c r="B30" s="20" t="n">
        <f aca="false">'Daily Summary'!B36</f>
        <v>28000</v>
      </c>
      <c r="C30" s="20" t="n">
        <f aca="false">'Daily Summary'!C36</f>
        <v>28000</v>
      </c>
      <c r="D30" s="20" t="n">
        <f aca="false">'Daily Summary'!D36</f>
        <v>0</v>
      </c>
      <c r="E30" s="21" t="n">
        <f aca="false">'Daily Summary'!E36</f>
        <v>3975465</v>
      </c>
      <c r="F30" s="21" t="n">
        <f aca="false">'Daily Summary'!F36</f>
        <v>3982225</v>
      </c>
      <c r="G30" s="21" t="n">
        <f aca="false">'Daily Summary'!G36</f>
        <v>6760</v>
      </c>
      <c r="H30" s="21" t="n">
        <f aca="false">'Daily Summary'!H36</f>
        <v>1294.223125</v>
      </c>
      <c r="I30" s="21" t="n">
        <f aca="false">'Daily Summary'!I36</f>
        <v>168.24900625</v>
      </c>
      <c r="J30" s="21" t="n">
        <f aca="false">'Daily Summary'!J36</f>
        <v>1462.47213125</v>
      </c>
      <c r="K30" s="21" t="n">
        <f aca="false">'Daily Summary'!K36</f>
        <v>5297.52786875</v>
      </c>
      <c r="L30" s="22" t="n">
        <f aca="false">'Daily Summary'!L36</f>
        <v>0.0013325555296676</v>
      </c>
    </row>
    <row r="31" customFormat="false" ht="15" hidden="false" customHeight="false" outlineLevel="0" collapsed="false">
      <c r="A31" s="19" t="n">
        <f aca="false">'Daily Summary'!A37</f>
        <v>46307</v>
      </c>
      <c r="B31" s="20" t="n">
        <f aca="false">'Daily Summary'!B37</f>
        <v>119500</v>
      </c>
      <c r="C31" s="20" t="n">
        <f aca="false">'Daily Summary'!C37</f>
        <v>119500</v>
      </c>
      <c r="D31" s="20" t="n">
        <f aca="false">'Daily Summary'!D37</f>
        <v>0</v>
      </c>
      <c r="E31" s="21" t="n">
        <f aca="false">'Daily Summary'!E37</f>
        <v>13087568</v>
      </c>
      <c r="F31" s="21" t="n">
        <f aca="false">'Daily Summary'!F37</f>
        <v>13093430</v>
      </c>
      <c r="G31" s="21" t="n">
        <f aca="false">'Daily Summary'!G37</f>
        <v>5862</v>
      </c>
      <c r="H31" s="21" t="n">
        <f aca="false">'Daily Summary'!H37</f>
        <v>4088.782</v>
      </c>
      <c r="I31" s="21" t="n">
        <f aca="false">'Daily Summary'!I37</f>
        <v>531.54166</v>
      </c>
      <c r="J31" s="21" t="n">
        <f aca="false">'Daily Summary'!J37</f>
        <v>4620.32366</v>
      </c>
      <c r="K31" s="21" t="n">
        <f aca="false">'Daily Summary'!K37</f>
        <v>1241.67634</v>
      </c>
      <c r="L31" s="22" t="n">
        <f aca="false">'Daily Summary'!L37</f>
        <v>9.48744900504051E-005</v>
      </c>
    </row>
    <row r="32" customFormat="false" ht="15" hidden="false" customHeight="false" outlineLevel="0" collapsed="false">
      <c r="A32" s="19" t="n">
        <f aca="false">'Daily Summary'!A38</f>
        <v>46308</v>
      </c>
      <c r="B32" s="20" t="n">
        <f aca="false">'Daily Summary'!B38</f>
        <v>111000</v>
      </c>
      <c r="C32" s="20" t="n">
        <f aca="false">'Daily Summary'!C38</f>
        <v>111000</v>
      </c>
      <c r="D32" s="20" t="n">
        <f aca="false">'Daily Summary'!D38</f>
        <v>0</v>
      </c>
      <c r="E32" s="21" t="n">
        <f aca="false">'Daily Summary'!E38</f>
        <v>8618263</v>
      </c>
      <c r="F32" s="21" t="n">
        <f aca="false">'Daily Summary'!F38</f>
        <v>8617447</v>
      </c>
      <c r="G32" s="21" t="n">
        <f aca="false">'Daily Summary'!G38</f>
        <v>-816</v>
      </c>
      <c r="H32" s="21" t="n">
        <f aca="false">'Daily Summary'!H38</f>
        <v>2112.74715</v>
      </c>
      <c r="I32" s="21" t="n">
        <f aca="false">'Daily Summary'!I38</f>
        <v>274.6571295</v>
      </c>
      <c r="J32" s="21" t="n">
        <f aca="false">'Daily Summary'!J38</f>
        <v>2387.4042795</v>
      </c>
      <c r="K32" s="21" t="n">
        <f aca="false">'Daily Summary'!K38</f>
        <v>-3203.4042795</v>
      </c>
      <c r="L32" s="22" t="n">
        <f aca="false">'Daily Summary'!L38</f>
        <v>-0.000371699526865216</v>
      </c>
    </row>
    <row r="33" customFormat="false" ht="15" hidden="false" customHeight="false" outlineLevel="0" collapsed="false">
      <c r="A33" s="19" t="n">
        <f aca="false">'Daily Summary'!A39</f>
        <v>46310</v>
      </c>
      <c r="B33" s="20" t="n">
        <f aca="false">'Daily Summary'!B39</f>
        <v>72500</v>
      </c>
      <c r="C33" s="20" t="n">
        <f aca="false">'Daily Summary'!C39</f>
        <v>72500</v>
      </c>
      <c r="D33" s="20" t="n">
        <f aca="false">'Daily Summary'!D39</f>
        <v>0</v>
      </c>
      <c r="E33" s="21" t="n">
        <f aca="false">'Daily Summary'!E39</f>
        <v>11671305</v>
      </c>
      <c r="F33" s="21" t="n">
        <f aca="false">'Daily Summary'!F39</f>
        <v>11678640</v>
      </c>
      <c r="G33" s="21" t="n">
        <f aca="false">'Daily Summary'!G39</f>
        <v>7335</v>
      </c>
      <c r="H33" s="21" t="n">
        <f aca="false">'Daily Summary'!H39</f>
        <v>3795.558</v>
      </c>
      <c r="I33" s="21" t="n">
        <f aca="false">'Daily Summary'!I39</f>
        <v>493.42254</v>
      </c>
      <c r="J33" s="21" t="n">
        <f aca="false">'Daily Summary'!J39</f>
        <v>4288.98054</v>
      </c>
      <c r="K33" s="21" t="n">
        <f aca="false">'Daily Summary'!K39</f>
        <v>3046.01946</v>
      </c>
      <c r="L33" s="22" t="n">
        <f aca="false">'Daily Summary'!L39</f>
        <v>0.000260983622654022</v>
      </c>
    </row>
    <row r="34" customFormat="false" ht="15" hidden="false" customHeight="false" outlineLevel="0" collapsed="false">
      <c r="A34" s="19" t="n">
        <f aca="false">'Daily Summary'!A40</f>
        <v>46311</v>
      </c>
      <c r="B34" s="20" t="n">
        <f aca="false">'Daily Summary'!B40</f>
        <v>22500</v>
      </c>
      <c r="C34" s="20" t="n">
        <f aca="false">'Daily Summary'!C40</f>
        <v>22500</v>
      </c>
      <c r="D34" s="20" t="n">
        <f aca="false">'Daily Summary'!D40</f>
        <v>0</v>
      </c>
      <c r="E34" s="21" t="n">
        <f aca="false">'Daily Summary'!E40</f>
        <v>4845060</v>
      </c>
      <c r="F34" s="21" t="n">
        <f aca="false">'Daily Summary'!F40</f>
        <v>4855610</v>
      </c>
      <c r="G34" s="21" t="n">
        <f aca="false">'Daily Summary'!G40</f>
        <v>10550</v>
      </c>
      <c r="H34" s="21" t="n">
        <f aca="false">'Daily Summary'!H40</f>
        <v>1578.07325</v>
      </c>
      <c r="I34" s="21" t="n">
        <f aca="false">'Daily Summary'!I40</f>
        <v>205.1495225</v>
      </c>
      <c r="J34" s="21" t="n">
        <f aca="false">'Daily Summary'!J40</f>
        <v>1783.2227725</v>
      </c>
      <c r="K34" s="21" t="n">
        <f aca="false">'Daily Summary'!K40</f>
        <v>8766.7772275</v>
      </c>
      <c r="L34" s="22" t="n">
        <f aca="false">'Daily Summary'!L40</f>
        <v>0.00180942593641771</v>
      </c>
    </row>
    <row r="35" customFormat="false" ht="15" hidden="false" customHeight="false" outlineLevel="0" collapsed="false">
      <c r="A35" s="23" t="s">
        <v>42</v>
      </c>
      <c r="B35" s="24" t="n">
        <f aca="false">SUM(B24:B34)</f>
        <v>813994</v>
      </c>
      <c r="C35" s="24" t="n">
        <f aca="false">SUM(C24:C34)</f>
        <v>813994</v>
      </c>
      <c r="D35" s="24" t="n">
        <f aca="false">$B35-$C35</f>
        <v>0</v>
      </c>
      <c r="E35" s="25" t="n">
        <f aca="false">SUM(E24:E34)</f>
        <v>112178783.25</v>
      </c>
      <c r="F35" s="25" t="n">
        <f aca="false">SUM(F24:F34)</f>
        <v>112258455.87</v>
      </c>
      <c r="G35" s="25" t="n">
        <f aca="false">SUM(G24:G34)</f>
        <v>79672.6199999999</v>
      </c>
      <c r="H35" s="25" t="n">
        <f aca="false">SUM(H24:H34)</f>
        <v>35293.79140775</v>
      </c>
      <c r="I35" s="25" t="n">
        <f aca="false">SUM(I24:I34)</f>
        <v>4588.1928830075</v>
      </c>
      <c r="J35" s="25" t="n">
        <f aca="false">SUM(J24:J34)</f>
        <v>39881.9842907575</v>
      </c>
      <c r="K35" s="25" t="n">
        <f aca="false">SUM(K24:K34)</f>
        <v>39790.6357092424</v>
      </c>
      <c r="L35" s="26" t="n">
        <f aca="false">IF($E35=0,"",$K35/$E35)</f>
        <v>0.000354707321263822</v>
      </c>
    </row>
  </sheetData>
  <conditionalFormatting sqref="G24:L35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B15:B20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27" t="n">
        <v>46023</v>
      </c>
    </row>
    <row r="5" customFormat="false" ht="15" hidden="false" customHeight="false" outlineLevel="0" collapsed="false">
      <c r="A5" s="3" t="s">
        <v>46</v>
      </c>
      <c r="B5" s="27" t="n">
        <f aca="false">MAX('Daily Summary'!$A$5:$A$404)</f>
        <v>46311</v>
      </c>
    </row>
    <row r="6" customFormat="false" ht="15" hidden="false" customHeight="false" outlineLevel="0" collapsed="false">
      <c r="A6" s="3" t="s">
        <v>47</v>
      </c>
      <c r="B6" s="27" t="n">
        <f aca="false">IFERROR(IF(INDEX('Daily Summary'!$A$5:$A$404,COUNTIF('Daily Summary'!$A$5:$A$404,"&lt;"&amp;$B$4)+1)&gt;$B$5,"—",INDEX('Daily Summary'!$A$5:$A$404,COUNTIF('Daily Summary'!$A$5:$A$404,"&lt;"&amp;$B$4)+1)),"—")</f>
        <v>46251</v>
      </c>
    </row>
    <row r="7" customFormat="false" ht="15" hidden="false" customHeight="false" outlineLevel="0" collapsed="false">
      <c r="A7" s="3" t="s">
        <v>48</v>
      </c>
      <c r="B7" s="28" t="n">
        <f aca="false">COUNTIFS('Daily Summary'!$A$5:$A$404,"&gt;="&amp;$B$4,'Daily Summary'!$A$5:$A$404,"&lt;="&amp;$B$5)</f>
        <v>36</v>
      </c>
    </row>
    <row r="9" customFormat="false" ht="30" hidden="false" customHeight="true" outlineLevel="0" collapsed="false">
      <c r="A9" s="18" t="s">
        <v>49</v>
      </c>
      <c r="B9" s="18" t="s">
        <v>50</v>
      </c>
    </row>
    <row r="10" customFormat="false" ht="15" hidden="false" customHeight="false" outlineLevel="0" collapsed="false">
      <c r="A10" s="6" t="s">
        <v>51</v>
      </c>
      <c r="B10" s="12" t="n">
        <f aca="false">SUMIFS('Daily Summary'!$B$5:$B$404,'Daily Summary'!$A$5:$A$404,"&gt;="&amp;$B$4,'Daily Summary'!$A$5:$A$404,"&lt;="&amp;$B$5)</f>
        <v>2612821</v>
      </c>
    </row>
    <row r="11" customFormat="false" ht="15" hidden="false" customHeight="false" outlineLevel="0" collapsed="false">
      <c r="A11" s="6" t="s">
        <v>52</v>
      </c>
      <c r="B11" s="12" t="n">
        <f aca="false">SUMIFS('Daily Summary'!$C$5:$C$404,'Daily Summary'!$A$5:$A$404,"&gt;="&amp;$B$4,'Daily Summary'!$A$5:$A$404,"&lt;="&amp;$B$5)</f>
        <v>2612821</v>
      </c>
    </row>
    <row r="12" customFormat="false" ht="15" hidden="false" customHeight="false" outlineLevel="0" collapsed="false">
      <c r="A12" s="6" t="s">
        <v>53</v>
      </c>
      <c r="B12" s="12" t="n">
        <f aca="false">SUMIFS('Daily Summary'!$D$5:$D$404,'Daily Summary'!$A$5:$A$404,"&gt;="&amp;$B$4,'Daily Summary'!$A$5:$A$404,"&lt;="&amp;$B$5)</f>
        <v>0</v>
      </c>
    </row>
    <row r="13" customFormat="false" ht="15" hidden="false" customHeight="false" outlineLevel="0" collapsed="false">
      <c r="A13" s="6" t="s">
        <v>36</v>
      </c>
      <c r="B13" s="7" t="n">
        <f aca="false">SUMIFS('Daily Summary'!$E$5:$E$404,'Daily Summary'!$A$5:$A$404,"&gt;="&amp;$B$4,'Daily Summary'!$A$5:$A$404,"&lt;="&amp;$B$5)</f>
        <v>403231367.88</v>
      </c>
    </row>
    <row r="14" customFormat="false" ht="15" hidden="false" customHeight="false" outlineLevel="0" collapsed="false">
      <c r="A14" s="6" t="s">
        <v>37</v>
      </c>
      <c r="B14" s="7" t="n">
        <f aca="false">SUMIFS('Daily Summary'!$F$5:$F$404,'Daily Summary'!$A$5:$A$404,"&gt;="&amp;$B$4,'Daily Summary'!$A$5:$A$404,"&lt;="&amp;$B$5)</f>
        <v>403570742.02</v>
      </c>
    </row>
    <row r="15" customFormat="false" ht="15" hidden="false" customHeight="false" outlineLevel="0" collapsed="false">
      <c r="A15" s="6" t="s">
        <v>38</v>
      </c>
      <c r="B15" s="7" t="n">
        <f aca="false">SUMIFS('Daily Summary'!$G$5:$G$404,'Daily Summary'!$A$5:$A$404,"&gt;="&amp;$B$4,'Daily Summary'!$A$5:$A$404,"&lt;="&amp;$B$5)</f>
        <v>339374.139999999</v>
      </c>
    </row>
    <row r="16" customFormat="false" ht="15" hidden="false" customHeight="false" outlineLevel="0" collapsed="false">
      <c r="A16" s="6" t="s">
        <v>39</v>
      </c>
      <c r="B16" s="7" t="n">
        <f aca="false">SUMIFS('Daily Summary'!$H$5:$H$404,'Daily Summary'!$A$5:$A$404,"&gt;="&amp;$B$4,'Daily Summary'!$A$5:$A$404,"&lt;="&amp;$B$5)</f>
        <v>129301.3531565</v>
      </c>
    </row>
    <row r="17" customFormat="false" ht="15" hidden="false" customHeight="false" outlineLevel="0" collapsed="false">
      <c r="A17" s="6" t="s">
        <v>40</v>
      </c>
      <c r="B17" s="7" t="n">
        <f aca="false">SUMIFS('Daily Summary'!$I$5:$I$404,'Daily Summary'!$A$5:$A$404,"&gt;="&amp;$B$4,'Daily Summary'!$A$5:$A$404,"&lt;="&amp;$B$5)</f>
        <v>16809.175910345</v>
      </c>
    </row>
    <row r="18" customFormat="false" ht="15" hidden="false" customHeight="false" outlineLevel="0" collapsed="false">
      <c r="A18" s="6" t="s">
        <v>41</v>
      </c>
      <c r="B18" s="7" t="n">
        <f aca="false">SUMIFS('Daily Summary'!$J$5:$J$404,'Daily Summary'!$A$5:$A$404,"&gt;="&amp;$B$4,'Daily Summary'!$A$5:$A$404,"&lt;="&amp;$B$5)</f>
        <v>146110.529066845</v>
      </c>
    </row>
    <row r="19" customFormat="false" ht="15" hidden="false" customHeight="false" outlineLevel="0" collapsed="false">
      <c r="A19" s="6" t="s">
        <v>7</v>
      </c>
      <c r="B19" s="7" t="n">
        <f aca="false">SUMIFS('Daily Summary'!$K$5:$K$404,'Daily Summary'!$A$5:$A$404,"&gt;="&amp;$B$4,'Daily Summary'!$A$5:$A$404,"&lt;="&amp;$B$5)</f>
        <v>193263.610933154</v>
      </c>
    </row>
    <row r="20" customFormat="false" ht="15" hidden="false" customHeight="false" outlineLevel="0" collapsed="false">
      <c r="A20" s="29" t="s">
        <v>8</v>
      </c>
      <c r="B20" s="30" t="n">
        <f aca="false">IF($B$13=0,"",$B$19/$B$13)</f>
        <v>0.000479287144621816</v>
      </c>
    </row>
    <row r="22" customFormat="false" ht="15" hidden="false" customHeight="false" outlineLevel="0" collapsed="false">
      <c r="A22" s="31" t="s">
        <v>54</v>
      </c>
    </row>
    <row r="23" customFormat="false" ht="30" hidden="false" customHeight="true" outlineLevel="0" collapsed="false">
      <c r="A23" s="18" t="s">
        <v>32</v>
      </c>
      <c r="B23" s="18" t="s">
        <v>33</v>
      </c>
      <c r="C23" s="18" t="s">
        <v>34</v>
      </c>
      <c r="D23" s="18" t="s">
        <v>35</v>
      </c>
      <c r="E23" s="18" t="s">
        <v>36</v>
      </c>
      <c r="F23" s="18" t="s">
        <v>37</v>
      </c>
      <c r="G23" s="18" t="s">
        <v>38</v>
      </c>
      <c r="H23" s="18" t="s">
        <v>39</v>
      </c>
      <c r="I23" s="18" t="s">
        <v>40</v>
      </c>
      <c r="J23" s="18" t="s">
        <v>41</v>
      </c>
      <c r="K23" s="18" t="s">
        <v>7</v>
      </c>
      <c r="L23" s="18" t="s">
        <v>8</v>
      </c>
    </row>
    <row r="24" customFormat="false" ht="15" hidden="false" customHeight="false" outlineLevel="0" collapsed="false">
      <c r="A24" s="19" t="n">
        <f aca="false">'Daily Summary'!A5</f>
        <v>46251</v>
      </c>
      <c r="B24" s="20" t="n">
        <f aca="false">'Daily Summary'!B5</f>
        <v>70500</v>
      </c>
      <c r="C24" s="20" t="n">
        <f aca="false">'Daily Summary'!C5</f>
        <v>70500</v>
      </c>
      <c r="D24" s="20" t="n">
        <f aca="false">'Daily Summary'!D5</f>
        <v>0</v>
      </c>
      <c r="E24" s="21" t="n">
        <f aca="false">'Daily Summary'!E5</f>
        <v>18267720</v>
      </c>
      <c r="F24" s="21" t="n">
        <f aca="false">'Daily Summary'!F5</f>
        <v>18287930</v>
      </c>
      <c r="G24" s="21" t="n">
        <f aca="false">'Daily Summary'!G5</f>
        <v>20210</v>
      </c>
      <c r="H24" s="21" t="n">
        <f aca="false">'Daily Summary'!H5</f>
        <v>5943.57725</v>
      </c>
      <c r="I24" s="21" t="n">
        <f aca="false">'Daily Summary'!I5</f>
        <v>772.6650425</v>
      </c>
      <c r="J24" s="21" t="n">
        <f aca="false">'Daily Summary'!J5</f>
        <v>6716.2422925</v>
      </c>
      <c r="K24" s="21" t="n">
        <f aca="false">'Daily Summary'!K5</f>
        <v>13493.7577075</v>
      </c>
      <c r="L24" s="22" t="n">
        <f aca="false">'Daily Summary'!L5</f>
        <v>0.000738666768896173</v>
      </c>
    </row>
    <row r="25" customFormat="false" ht="15" hidden="false" customHeight="false" outlineLevel="0" collapsed="false">
      <c r="A25" s="19" t="n">
        <f aca="false">'Daily Summary'!A6</f>
        <v>46252</v>
      </c>
      <c r="B25" s="20" t="n">
        <f aca="false">'Daily Summary'!B6</f>
        <v>125640</v>
      </c>
      <c r="C25" s="20" t="n">
        <f aca="false">'Daily Summary'!C6</f>
        <v>125640</v>
      </c>
      <c r="D25" s="20" t="n">
        <f aca="false">'Daily Summary'!D6</f>
        <v>0</v>
      </c>
      <c r="E25" s="21" t="n">
        <f aca="false">'Daily Summary'!E6</f>
        <v>21984905</v>
      </c>
      <c r="F25" s="21" t="n">
        <f aca="false">'Daily Summary'!F6</f>
        <v>22001335</v>
      </c>
      <c r="G25" s="21" t="n">
        <f aca="false">'Daily Summary'!G6</f>
        <v>16430</v>
      </c>
      <c r="H25" s="21" t="n">
        <f aca="false">'Daily Summary'!H6</f>
        <v>6920.371375</v>
      </c>
      <c r="I25" s="21" t="n">
        <f aca="false">'Daily Summary'!I6</f>
        <v>899.64827875</v>
      </c>
      <c r="J25" s="21" t="n">
        <f aca="false">'Daily Summary'!J6</f>
        <v>7820.01965375</v>
      </c>
      <c r="K25" s="21" t="n">
        <f aca="false">'Daily Summary'!K6</f>
        <v>8609.98034625</v>
      </c>
      <c r="L25" s="22" t="n">
        <f aca="false">'Daily Summary'!L6</f>
        <v>0.000391631455594191</v>
      </c>
    </row>
    <row r="26" customFormat="false" ht="15" hidden="false" customHeight="false" outlineLevel="0" collapsed="false">
      <c r="A26" s="19" t="n">
        <f aca="false">'Daily Summary'!A7</f>
        <v>46253</v>
      </c>
      <c r="B26" s="20" t="n">
        <f aca="false">'Daily Summary'!B7</f>
        <v>96000</v>
      </c>
      <c r="C26" s="20" t="n">
        <f aca="false">'Daily Summary'!C7</f>
        <v>96000</v>
      </c>
      <c r="D26" s="20" t="n">
        <f aca="false">'Daily Summary'!D7</f>
        <v>0</v>
      </c>
      <c r="E26" s="21" t="n">
        <f aca="false">'Daily Summary'!E7</f>
        <v>12039745</v>
      </c>
      <c r="F26" s="21" t="n">
        <f aca="false">'Daily Summary'!F7</f>
        <v>12062720</v>
      </c>
      <c r="G26" s="21" t="n">
        <f aca="false">'Daily Summary'!G7</f>
        <v>22975</v>
      </c>
      <c r="H26" s="21" t="n">
        <f aca="false">'Daily Summary'!H7</f>
        <v>3851.25275</v>
      </c>
      <c r="I26" s="21" t="n">
        <f aca="false">'Daily Summary'!I7</f>
        <v>500.6628575</v>
      </c>
      <c r="J26" s="21" t="n">
        <f aca="false">'Daily Summary'!J7</f>
        <v>4351.9156075</v>
      </c>
      <c r="K26" s="21" t="n">
        <f aca="false">'Daily Summary'!K7</f>
        <v>18623.0843925</v>
      </c>
      <c r="L26" s="22" t="n">
        <f aca="false">'Daily Summary'!L7</f>
        <v>0.00154680056699706</v>
      </c>
    </row>
    <row r="27" customFormat="false" ht="15" hidden="false" customHeight="false" outlineLevel="0" collapsed="false">
      <c r="A27" s="19" t="n">
        <f aca="false">'Daily Summary'!A8</f>
        <v>46254</v>
      </c>
      <c r="B27" s="20" t="n">
        <f aca="false">'Daily Summary'!B8</f>
        <v>63500</v>
      </c>
      <c r="C27" s="20" t="n">
        <f aca="false">'Daily Summary'!C8</f>
        <v>63500</v>
      </c>
      <c r="D27" s="20" t="n">
        <f aca="false">'Daily Summary'!D8</f>
        <v>0</v>
      </c>
      <c r="E27" s="21" t="n">
        <f aca="false">'Daily Summary'!E8</f>
        <v>10062968</v>
      </c>
      <c r="F27" s="21" t="n">
        <f aca="false">'Daily Summary'!F8</f>
        <v>10084864.51</v>
      </c>
      <c r="G27" s="21" t="n">
        <f aca="false">'Daily Summary'!G8</f>
        <v>21896.51</v>
      </c>
      <c r="H27" s="21" t="n">
        <f aca="false">'Daily Summary'!H8</f>
        <v>3277.58096575</v>
      </c>
      <c r="I27" s="21" t="n">
        <f aca="false">'Daily Summary'!I8</f>
        <v>426.0855255475</v>
      </c>
      <c r="J27" s="21" t="n">
        <f aca="false">'Daily Summary'!J8</f>
        <v>3703.6664912975</v>
      </c>
      <c r="K27" s="21" t="n">
        <f aca="false">'Daily Summary'!K8</f>
        <v>18192.8435087025</v>
      </c>
      <c r="L27" s="22" t="n">
        <f aca="false">'Daily Summary'!L8</f>
        <v>0.0018079003638591</v>
      </c>
    </row>
    <row r="28" customFormat="false" ht="15" hidden="false" customHeight="false" outlineLevel="0" collapsed="false">
      <c r="A28" s="19" t="n">
        <f aca="false">'Daily Summary'!A9</f>
        <v>46255</v>
      </c>
      <c r="B28" s="20" t="n">
        <f aca="false">'Daily Summary'!B9</f>
        <v>45357</v>
      </c>
      <c r="C28" s="20" t="n">
        <f aca="false">'Daily Summary'!C9</f>
        <v>45357</v>
      </c>
      <c r="D28" s="20" t="n">
        <f aca="false">'Daily Summary'!D9</f>
        <v>0</v>
      </c>
      <c r="E28" s="21" t="n">
        <f aca="false">'Daily Summary'!E9</f>
        <v>8763519.97</v>
      </c>
      <c r="F28" s="21" t="n">
        <f aca="false">'Daily Summary'!F9</f>
        <v>8772484.26</v>
      </c>
      <c r="G28" s="21" t="n">
        <f aca="false">'Daily Summary'!G9</f>
        <v>8964.28999999957</v>
      </c>
      <c r="H28" s="21" t="n">
        <f aca="false">'Daily Summary'!H9</f>
        <v>2851.0573845</v>
      </c>
      <c r="I28" s="21" t="n">
        <f aca="false">'Daily Summary'!I9</f>
        <v>370.637459985</v>
      </c>
      <c r="J28" s="21" t="n">
        <f aca="false">'Daily Summary'!J9</f>
        <v>3221.694844485</v>
      </c>
      <c r="K28" s="21" t="n">
        <f aca="false">'Daily Summary'!K9</f>
        <v>5742.59515551457</v>
      </c>
      <c r="L28" s="22" t="n">
        <f aca="false">'Daily Summary'!L9</f>
        <v>0.000655284083926675</v>
      </c>
    </row>
    <row r="29" customFormat="false" ht="15" hidden="false" customHeight="false" outlineLevel="0" collapsed="false">
      <c r="A29" s="19" t="n">
        <f aca="false">'Daily Summary'!A10</f>
        <v>46258</v>
      </c>
      <c r="B29" s="20" t="n">
        <f aca="false">'Daily Summary'!B10</f>
        <v>84004</v>
      </c>
      <c r="C29" s="20" t="n">
        <f aca="false">'Daily Summary'!C10</f>
        <v>84004</v>
      </c>
      <c r="D29" s="20" t="n">
        <f aca="false">'Daily Summary'!D10</f>
        <v>0</v>
      </c>
      <c r="E29" s="21" t="n">
        <f aca="false">'Daily Summary'!E10</f>
        <v>13130112.51</v>
      </c>
      <c r="F29" s="21" t="n">
        <f aca="false">'Daily Summary'!F10</f>
        <v>13155566.8</v>
      </c>
      <c r="G29" s="21" t="n">
        <f aca="false">'Daily Summary'!G10</f>
        <v>25454.29</v>
      </c>
      <c r="H29" s="21" t="n">
        <f aca="false">'Daily Summary'!H10</f>
        <v>4275.55921</v>
      </c>
      <c r="I29" s="21" t="n">
        <f aca="false">'Daily Summary'!I10</f>
        <v>555.8226973</v>
      </c>
      <c r="J29" s="21" t="n">
        <f aca="false">'Daily Summary'!J10</f>
        <v>4831.3819073</v>
      </c>
      <c r="K29" s="21" t="n">
        <f aca="false">'Daily Summary'!K10</f>
        <v>20622.9080927</v>
      </c>
      <c r="L29" s="22" t="n">
        <f aca="false">'Daily Summary'!L10</f>
        <v>0.00157065737837307</v>
      </c>
    </row>
    <row r="30" customFormat="false" ht="15" hidden="false" customHeight="false" outlineLevel="0" collapsed="false">
      <c r="A30" s="19" t="n">
        <f aca="false">'Daily Summary'!A11</f>
        <v>46261</v>
      </c>
      <c r="B30" s="20" t="n">
        <f aca="false">'Daily Summary'!B11</f>
        <v>26500</v>
      </c>
      <c r="C30" s="20" t="n">
        <f aca="false">'Daily Summary'!C11</f>
        <v>26500</v>
      </c>
      <c r="D30" s="20" t="n">
        <f aca="false">'Daily Summary'!D11</f>
        <v>0</v>
      </c>
      <c r="E30" s="21" t="n">
        <f aca="false">'Daily Summary'!E11</f>
        <v>2407645</v>
      </c>
      <c r="F30" s="21" t="n">
        <f aca="false">'Daily Summary'!F11</f>
        <v>2404525</v>
      </c>
      <c r="G30" s="21" t="n">
        <f aca="false">'Daily Summary'!G11</f>
        <v>-3120</v>
      </c>
      <c r="H30" s="21" t="n">
        <f aca="false">'Daily Summary'!H11</f>
        <v>781.470625</v>
      </c>
      <c r="I30" s="21" t="n">
        <f aca="false">'Daily Summary'!I11</f>
        <v>101.59118125</v>
      </c>
      <c r="J30" s="21" t="n">
        <f aca="false">'Daily Summary'!J11</f>
        <v>883.06180625</v>
      </c>
      <c r="K30" s="21" t="n">
        <f aca="false">'Daily Summary'!K11</f>
        <v>-4003.06180625</v>
      </c>
      <c r="L30" s="22" t="n">
        <f aca="false">'Daily Summary'!L11</f>
        <v>-0.00166264619835981</v>
      </c>
    </row>
    <row r="31" customFormat="false" ht="15" hidden="false" customHeight="false" outlineLevel="0" collapsed="false">
      <c r="A31" s="19" t="n">
        <f aca="false">'Daily Summary'!A12</f>
        <v>46265</v>
      </c>
      <c r="B31" s="20" t="n">
        <f aca="false">'Daily Summary'!B12</f>
        <v>51500</v>
      </c>
      <c r="C31" s="20" t="n">
        <f aca="false">'Daily Summary'!C12</f>
        <v>51500</v>
      </c>
      <c r="D31" s="20" t="n">
        <f aca="false">'Daily Summary'!D12</f>
        <v>0</v>
      </c>
      <c r="E31" s="21" t="n">
        <f aca="false">'Daily Summary'!E12</f>
        <v>18280836.89</v>
      </c>
      <c r="F31" s="21" t="n">
        <f aca="false">'Daily Summary'!F12</f>
        <v>18292560</v>
      </c>
      <c r="G31" s="21" t="n">
        <f aca="false">'Daily Summary'!G12</f>
        <v>11723.1100000001</v>
      </c>
      <c r="H31" s="21" t="n">
        <f aca="false">'Daily Summary'!H12</f>
        <v>5945.082</v>
      </c>
      <c r="I31" s="21" t="n">
        <f aca="false">'Daily Summary'!I12</f>
        <v>772.86066</v>
      </c>
      <c r="J31" s="21" t="n">
        <f aca="false">'Daily Summary'!J12</f>
        <v>6717.94266</v>
      </c>
      <c r="K31" s="21" t="n">
        <f aca="false">'Daily Summary'!K12</f>
        <v>5005.1673400001</v>
      </c>
      <c r="L31" s="22" t="n">
        <f aca="false">'Daily Summary'!L12</f>
        <v>0.000273793118450613</v>
      </c>
    </row>
    <row r="32" customFormat="false" ht="15" hidden="false" customHeight="false" outlineLevel="0" collapsed="false">
      <c r="A32" s="19" t="n">
        <f aca="false">'Daily Summary'!A13</f>
        <v>46266</v>
      </c>
      <c r="B32" s="20" t="n">
        <f aca="false">'Daily Summary'!B13</f>
        <v>40920</v>
      </c>
      <c r="C32" s="20" t="n">
        <f aca="false">'Daily Summary'!C13</f>
        <v>40920</v>
      </c>
      <c r="D32" s="20" t="n">
        <f aca="false">'Daily Summary'!D13</f>
        <v>0</v>
      </c>
      <c r="E32" s="21" t="n">
        <f aca="false">'Daily Summary'!E13</f>
        <v>13686449.11</v>
      </c>
      <c r="F32" s="21" t="n">
        <f aca="false">'Daily Summary'!F13</f>
        <v>13711864.41</v>
      </c>
      <c r="G32" s="21" t="n">
        <f aca="false">'Daily Summary'!G13</f>
        <v>25415.3000000001</v>
      </c>
      <c r="H32" s="21" t="n">
        <f aca="false">'Daily Summary'!H13</f>
        <v>4456.35593325</v>
      </c>
      <c r="I32" s="21" t="n">
        <f aca="false">'Daily Summary'!I13</f>
        <v>579.3262713225</v>
      </c>
      <c r="J32" s="21" t="n">
        <f aca="false">'Daily Summary'!J13</f>
        <v>5035.6822045725</v>
      </c>
      <c r="K32" s="21" t="n">
        <f aca="false">'Daily Summary'!K13</f>
        <v>20379.6177954276</v>
      </c>
      <c r="L32" s="22" t="n">
        <f aca="false">'Daily Summary'!L13</f>
        <v>0.00148903617232152</v>
      </c>
    </row>
    <row r="33" customFormat="false" ht="15" hidden="false" customHeight="false" outlineLevel="0" collapsed="false">
      <c r="A33" s="19" t="n">
        <f aca="false">'Daily Summary'!A14</f>
        <v>46267</v>
      </c>
      <c r="B33" s="20" t="n">
        <f aca="false">'Daily Summary'!B14</f>
        <v>115000</v>
      </c>
      <c r="C33" s="20" t="n">
        <f aca="false">'Daily Summary'!C14</f>
        <v>115000</v>
      </c>
      <c r="D33" s="20" t="n">
        <f aca="false">'Daily Summary'!D14</f>
        <v>0</v>
      </c>
      <c r="E33" s="21" t="n">
        <f aca="false">'Daily Summary'!E14</f>
        <v>14853375</v>
      </c>
      <c r="F33" s="21" t="n">
        <f aca="false">'Daily Summary'!F14</f>
        <v>14863825.36</v>
      </c>
      <c r="G33" s="21" t="n">
        <f aca="false">'Daily Summary'!G14</f>
        <v>10450.36</v>
      </c>
      <c r="H33" s="21" t="n">
        <f aca="false">'Daily Summary'!H14</f>
        <v>4830.743242</v>
      </c>
      <c r="I33" s="21" t="n">
        <f aca="false">'Daily Summary'!I14</f>
        <v>627.99662146</v>
      </c>
      <c r="J33" s="21" t="n">
        <f aca="false">'Daily Summary'!J14</f>
        <v>5458.73986346</v>
      </c>
      <c r="K33" s="21" t="n">
        <f aca="false">'Daily Summary'!K14</f>
        <v>4991.62013654</v>
      </c>
      <c r="L33" s="22" t="n">
        <f aca="false">'Daily Summary'!L14</f>
        <v>0.000336059658935427</v>
      </c>
    </row>
    <row r="34" customFormat="false" ht="15" hidden="false" customHeight="false" outlineLevel="0" collapsed="false">
      <c r="A34" s="19" t="n">
        <f aca="false">'Daily Summary'!A15</f>
        <v>46268</v>
      </c>
      <c r="B34" s="20" t="n">
        <f aca="false">'Daily Summary'!B15</f>
        <v>85000</v>
      </c>
      <c r="C34" s="20" t="n">
        <f aca="false">'Daily Summary'!C15</f>
        <v>85000</v>
      </c>
      <c r="D34" s="20" t="n">
        <f aca="false">'Daily Summary'!D15</f>
        <v>0</v>
      </c>
      <c r="E34" s="21" t="n">
        <f aca="false">'Daily Summary'!E15</f>
        <v>15859132.11</v>
      </c>
      <c r="F34" s="21" t="n">
        <f aca="false">'Daily Summary'!F15</f>
        <v>15867401.7</v>
      </c>
      <c r="G34" s="21" t="n">
        <f aca="false">'Daily Summary'!G15</f>
        <v>8269.59000000008</v>
      </c>
      <c r="H34" s="21" t="n">
        <f aca="false">'Daily Summary'!H15</f>
        <v>5156.9055525</v>
      </c>
      <c r="I34" s="21" t="n">
        <f aca="false">'Daily Summary'!I15</f>
        <v>670.397721825</v>
      </c>
      <c r="J34" s="21" t="n">
        <f aca="false">'Daily Summary'!J15</f>
        <v>5827.303274325</v>
      </c>
      <c r="K34" s="21" t="n">
        <f aca="false">'Daily Summary'!K15</f>
        <v>2442.28672567508</v>
      </c>
      <c r="L34" s="22" t="n">
        <f aca="false">'Daily Summary'!L15</f>
        <v>0.000153998762904251</v>
      </c>
    </row>
    <row r="35" customFormat="false" ht="15" hidden="false" customHeight="false" outlineLevel="0" collapsed="false">
      <c r="A35" s="19" t="n">
        <f aca="false">'Daily Summary'!A16</f>
        <v>46269</v>
      </c>
      <c r="B35" s="20" t="n">
        <f aca="false">'Daily Summary'!B16</f>
        <v>139200</v>
      </c>
      <c r="C35" s="20" t="n">
        <f aca="false">'Daily Summary'!C16</f>
        <v>139200</v>
      </c>
      <c r="D35" s="20" t="n">
        <f aca="false">'Daily Summary'!D16</f>
        <v>0</v>
      </c>
      <c r="E35" s="21" t="n">
        <f aca="false">'Daily Summary'!E16</f>
        <v>22870426.57</v>
      </c>
      <c r="F35" s="21" t="n">
        <f aca="false">'Daily Summary'!F16</f>
        <v>22877215</v>
      </c>
      <c r="G35" s="21" t="n">
        <f aca="false">'Daily Summary'!G16</f>
        <v>6788.43000000005</v>
      </c>
      <c r="H35" s="21" t="n">
        <f aca="false">'Daily Summary'!H16</f>
        <v>7435.094875</v>
      </c>
      <c r="I35" s="21" t="n">
        <f aca="false">'Daily Summary'!I16</f>
        <v>966.56233375</v>
      </c>
      <c r="J35" s="21" t="n">
        <f aca="false">'Daily Summary'!J16</f>
        <v>8401.65720875</v>
      </c>
      <c r="K35" s="21" t="n">
        <f aca="false">'Daily Summary'!K16</f>
        <v>-1613.22720874995</v>
      </c>
      <c r="L35" s="22" t="n">
        <f aca="false">'Daily Summary'!L16</f>
        <v>-7.05376965231632E-005</v>
      </c>
    </row>
    <row r="36" customFormat="false" ht="15" hidden="false" customHeight="false" outlineLevel="0" collapsed="false">
      <c r="A36" s="19" t="n">
        <f aca="false">'Daily Summary'!A17</f>
        <v>46272</v>
      </c>
      <c r="B36" s="20" t="n">
        <f aca="false">'Daily Summary'!B17</f>
        <v>22051</v>
      </c>
      <c r="C36" s="20" t="n">
        <f aca="false">'Daily Summary'!C17</f>
        <v>22051</v>
      </c>
      <c r="D36" s="20" t="n">
        <f aca="false">'Daily Summary'!D17</f>
        <v>0</v>
      </c>
      <c r="E36" s="21" t="n">
        <f aca="false">'Daily Summary'!E17</f>
        <v>3194849.52</v>
      </c>
      <c r="F36" s="21" t="n">
        <f aca="false">'Daily Summary'!F17</f>
        <v>3205253.49</v>
      </c>
      <c r="G36" s="21" t="n">
        <f aca="false">'Daily Summary'!G17</f>
        <v>10403.97</v>
      </c>
      <c r="H36" s="21" t="n">
        <f aca="false">'Daily Summary'!H17</f>
        <v>1041.70738425</v>
      </c>
      <c r="I36" s="21" t="n">
        <f aca="false">'Daily Summary'!I17</f>
        <v>135.4219599525</v>
      </c>
      <c r="J36" s="21" t="n">
        <f aca="false">'Daily Summary'!J17</f>
        <v>1177.1293442025</v>
      </c>
      <c r="K36" s="21" t="n">
        <f aca="false">'Daily Summary'!K17</f>
        <v>9226.84065579747</v>
      </c>
      <c r="L36" s="22" t="n">
        <f aca="false">'Daily Summary'!L17</f>
        <v>0.0028880360711942</v>
      </c>
    </row>
    <row r="37" customFormat="false" ht="15" hidden="false" customHeight="false" outlineLevel="0" collapsed="false">
      <c r="A37" s="19" t="n">
        <f aca="false">'Daily Summary'!A18</f>
        <v>46273</v>
      </c>
      <c r="B37" s="20" t="n">
        <f aca="false">'Daily Summary'!B18</f>
        <v>67000</v>
      </c>
      <c r="C37" s="20" t="n">
        <f aca="false">'Daily Summary'!C18</f>
        <v>67000</v>
      </c>
      <c r="D37" s="20" t="n">
        <f aca="false">'Daily Summary'!D18</f>
        <v>0</v>
      </c>
      <c r="E37" s="21" t="n">
        <f aca="false">'Daily Summary'!E18</f>
        <v>11580825</v>
      </c>
      <c r="F37" s="21" t="n">
        <f aca="false">'Daily Summary'!F18</f>
        <v>11593195</v>
      </c>
      <c r="G37" s="21" t="n">
        <f aca="false">'Daily Summary'!G18</f>
        <v>12370</v>
      </c>
      <c r="H37" s="21" t="n">
        <f aca="false">'Daily Summary'!H18</f>
        <v>3716.460875</v>
      </c>
      <c r="I37" s="21" t="n">
        <f aca="false">'Daily Summary'!I18</f>
        <v>483.13991375</v>
      </c>
      <c r="J37" s="21" t="n">
        <f aca="false">'Daily Summary'!J18</f>
        <v>4199.60078875</v>
      </c>
      <c r="K37" s="21" t="n">
        <f aca="false">'Daily Summary'!K18</f>
        <v>8170.39921125</v>
      </c>
      <c r="L37" s="22" t="n">
        <f aca="false">'Daily Summary'!L18</f>
        <v>0.000705510981406765</v>
      </c>
    </row>
    <row r="38" customFormat="false" ht="15" hidden="false" customHeight="false" outlineLevel="0" collapsed="false">
      <c r="A38" s="19" t="n">
        <f aca="false">'Daily Summary'!A19</f>
        <v>46274</v>
      </c>
      <c r="B38" s="20" t="n">
        <f aca="false">'Daily Summary'!B19</f>
        <v>51953</v>
      </c>
      <c r="C38" s="20" t="n">
        <f aca="false">'Daily Summary'!C19</f>
        <v>51953</v>
      </c>
      <c r="D38" s="20" t="n">
        <f aca="false">'Daily Summary'!D19</f>
        <v>0</v>
      </c>
      <c r="E38" s="21" t="n">
        <f aca="false">'Daily Summary'!E19</f>
        <v>4936491.02</v>
      </c>
      <c r="F38" s="21" t="n">
        <f aca="false">'Daily Summary'!F19</f>
        <v>4940816</v>
      </c>
      <c r="G38" s="21" t="n">
        <f aca="false">'Daily Summary'!G19</f>
        <v>4324.97999999998</v>
      </c>
      <c r="H38" s="21" t="n">
        <f aca="false">'Daily Summary'!H19</f>
        <v>1605.7652</v>
      </c>
      <c r="I38" s="21" t="n">
        <f aca="false">'Daily Summary'!I19</f>
        <v>208.749476</v>
      </c>
      <c r="J38" s="21" t="n">
        <f aca="false">'Daily Summary'!J19</f>
        <v>1814.514676</v>
      </c>
      <c r="K38" s="21" t="n">
        <f aca="false">'Daily Summary'!K19</f>
        <v>2510.46532399998</v>
      </c>
      <c r="L38" s="22" t="n">
        <f aca="false">'Daily Summary'!L19</f>
        <v>0.000508552596131327</v>
      </c>
    </row>
    <row r="39" customFormat="false" ht="15" hidden="false" customHeight="false" outlineLevel="0" collapsed="false">
      <c r="A39" s="19" t="n">
        <f aca="false">'Daily Summary'!A20</f>
        <v>46275</v>
      </c>
      <c r="B39" s="20" t="n">
        <f aca="false">'Daily Summary'!B20</f>
        <v>25405</v>
      </c>
      <c r="C39" s="20" t="n">
        <f aca="false">'Daily Summary'!C20</f>
        <v>25405</v>
      </c>
      <c r="D39" s="20" t="n">
        <f aca="false">'Daily Summary'!D20</f>
        <v>0</v>
      </c>
      <c r="E39" s="21" t="n">
        <f aca="false">'Daily Summary'!E20</f>
        <v>3843124.44</v>
      </c>
      <c r="F39" s="21" t="n">
        <f aca="false">'Daily Summary'!F20</f>
        <v>3839233.91</v>
      </c>
      <c r="G39" s="21" t="n">
        <f aca="false">'Daily Summary'!G20</f>
        <v>-3890.5299999999</v>
      </c>
      <c r="H39" s="21" t="n">
        <f aca="false">'Daily Summary'!H20</f>
        <v>1189.71239575</v>
      </c>
      <c r="I39" s="21" t="n">
        <f aca="false">'Daily Summary'!I20</f>
        <v>154.6626114475</v>
      </c>
      <c r="J39" s="21" t="n">
        <f aca="false">'Daily Summary'!J20</f>
        <v>1344.3750071975</v>
      </c>
      <c r="K39" s="21" t="n">
        <f aca="false">'Daily Summary'!K20</f>
        <v>-5234.9050071974</v>
      </c>
      <c r="L39" s="22" t="n">
        <f aca="false">'Daily Summary'!L20</f>
        <v>-0.00136214819190122</v>
      </c>
    </row>
    <row r="40" customFormat="false" ht="15" hidden="false" customHeight="false" outlineLevel="0" collapsed="false">
      <c r="A40" s="19" t="n">
        <f aca="false">'Daily Summary'!A21</f>
        <v>46276</v>
      </c>
      <c r="B40" s="20" t="n">
        <f aca="false">'Daily Summary'!B21</f>
        <v>52593</v>
      </c>
      <c r="C40" s="20" t="n">
        <f aca="false">'Daily Summary'!C21</f>
        <v>52593</v>
      </c>
      <c r="D40" s="20" t="n">
        <f aca="false">'Daily Summary'!D21</f>
        <v>0</v>
      </c>
      <c r="E40" s="21" t="n">
        <f aca="false">'Daily Summary'!E21</f>
        <v>6080555.57</v>
      </c>
      <c r="F40" s="21" t="n">
        <f aca="false">'Daily Summary'!F21</f>
        <v>6086289.05</v>
      </c>
      <c r="G40" s="21" t="n">
        <f aca="false">'Daily Summary'!G21</f>
        <v>5733.48</v>
      </c>
      <c r="H40" s="21" t="n">
        <f aca="false">'Daily Summary'!H21</f>
        <v>1978.04394125</v>
      </c>
      <c r="I40" s="21" t="n">
        <f aca="false">'Daily Summary'!I21</f>
        <v>257.1457123625</v>
      </c>
      <c r="J40" s="21" t="n">
        <f aca="false">'Daily Summary'!J21</f>
        <v>2235.1896536125</v>
      </c>
      <c r="K40" s="21" t="n">
        <f aca="false">'Daily Summary'!K21</f>
        <v>3498.2903463875</v>
      </c>
      <c r="L40" s="22" t="n">
        <f aca="false">'Daily Summary'!L21</f>
        <v>0.000575324130519787</v>
      </c>
    </row>
    <row r="41" customFormat="false" ht="15" hidden="false" customHeight="false" outlineLevel="0" collapsed="false">
      <c r="A41" s="19" t="n">
        <f aca="false">'Daily Summary'!A22</f>
        <v>46279</v>
      </c>
      <c r="B41" s="20" t="n">
        <f aca="false">'Daily Summary'!B22</f>
        <v>68500</v>
      </c>
      <c r="C41" s="20" t="n">
        <f aca="false">'Daily Summary'!C22</f>
        <v>68500</v>
      </c>
      <c r="D41" s="20" t="n">
        <f aca="false">'Daily Summary'!D22</f>
        <v>0</v>
      </c>
      <c r="E41" s="21" t="n">
        <f aca="false">'Daily Summary'!E22</f>
        <v>11322640.42</v>
      </c>
      <c r="F41" s="21" t="n">
        <f aca="false">'Daily Summary'!F22</f>
        <v>11331895</v>
      </c>
      <c r="G41" s="21" t="n">
        <f aca="false">'Daily Summary'!G22</f>
        <v>9254.58000000008</v>
      </c>
      <c r="H41" s="21" t="n">
        <f aca="false">'Daily Summary'!H22</f>
        <v>3682.865875</v>
      </c>
      <c r="I41" s="21" t="n">
        <f aca="false">'Daily Summary'!I22</f>
        <v>478.77256375</v>
      </c>
      <c r="J41" s="21" t="n">
        <f aca="false">'Daily Summary'!J22</f>
        <v>4161.63843875</v>
      </c>
      <c r="K41" s="21" t="n">
        <f aca="false">'Daily Summary'!K22</f>
        <v>5092.94156125007</v>
      </c>
      <c r="L41" s="22" t="n">
        <f aca="false">'Daily Summary'!L22</f>
        <v>0.00044980158093284</v>
      </c>
    </row>
    <row r="42" customFormat="false" ht="15" hidden="false" customHeight="false" outlineLevel="0" collapsed="false">
      <c r="A42" s="19" t="n">
        <f aca="false">'Daily Summary'!A23</f>
        <v>46280</v>
      </c>
      <c r="B42" s="20" t="n">
        <f aca="false">'Daily Summary'!B23</f>
        <v>18000</v>
      </c>
      <c r="C42" s="20" t="n">
        <f aca="false">'Daily Summary'!C23</f>
        <v>18000</v>
      </c>
      <c r="D42" s="20" t="n">
        <f aca="false">'Daily Summary'!D23</f>
        <v>0</v>
      </c>
      <c r="E42" s="21" t="n">
        <f aca="false">'Daily Summary'!E23</f>
        <v>2928580</v>
      </c>
      <c r="F42" s="21" t="n">
        <f aca="false">'Daily Summary'!F23</f>
        <v>2930140</v>
      </c>
      <c r="G42" s="21" t="n">
        <f aca="false">'Daily Summary'!G23</f>
        <v>1560</v>
      </c>
      <c r="H42" s="21" t="n">
        <f aca="false">'Daily Summary'!H23</f>
        <v>952.2955</v>
      </c>
      <c r="I42" s="21" t="n">
        <f aca="false">'Daily Summary'!I23</f>
        <v>123.798415</v>
      </c>
      <c r="J42" s="21" t="n">
        <f aca="false">'Daily Summary'!J23</f>
        <v>1076.093915</v>
      </c>
      <c r="K42" s="21" t="n">
        <f aca="false">'Daily Summary'!K23</f>
        <v>483.906085</v>
      </c>
      <c r="L42" s="22" t="n">
        <f aca="false">'Daily Summary'!L23</f>
        <v>0.00016523574052954</v>
      </c>
    </row>
    <row r="43" customFormat="false" ht="15" hidden="false" customHeight="false" outlineLevel="0" collapsed="false">
      <c r="A43" s="19" t="n">
        <f aca="false">'Daily Summary'!A24</f>
        <v>46281</v>
      </c>
      <c r="B43" s="20" t="n">
        <f aca="false">'Daily Summary'!B24</f>
        <v>43500</v>
      </c>
      <c r="C43" s="20" t="n">
        <f aca="false">'Daily Summary'!C24</f>
        <v>43500</v>
      </c>
      <c r="D43" s="20" t="n">
        <f aca="false">'Daily Summary'!D24</f>
        <v>0</v>
      </c>
      <c r="E43" s="21" t="n">
        <f aca="false">'Daily Summary'!E24</f>
        <v>8237815.65</v>
      </c>
      <c r="F43" s="21" t="n">
        <f aca="false">'Daily Summary'!F24</f>
        <v>8236390</v>
      </c>
      <c r="G43" s="21" t="n">
        <f aca="false">'Daily Summary'!G24</f>
        <v>-1425.64999999999</v>
      </c>
      <c r="H43" s="21" t="n">
        <f aca="false">'Daily Summary'!H24</f>
        <v>2676.82675</v>
      </c>
      <c r="I43" s="21" t="n">
        <f aca="false">'Daily Summary'!I24</f>
        <v>347.9874775</v>
      </c>
      <c r="J43" s="21" t="n">
        <f aca="false">'Daily Summary'!J24</f>
        <v>3024.8142275</v>
      </c>
      <c r="K43" s="21" t="n">
        <f aca="false">'Daily Summary'!K24</f>
        <v>-4450.46422749999</v>
      </c>
      <c r="L43" s="22" t="n">
        <f aca="false">'Daily Summary'!L24</f>
        <v>-0.000540248096896899</v>
      </c>
    </row>
    <row r="44" customFormat="false" ht="15" hidden="false" customHeight="false" outlineLevel="0" collapsed="false">
      <c r="A44" s="19" t="n">
        <f aca="false">'Daily Summary'!A25</f>
        <v>46282</v>
      </c>
      <c r="B44" s="20" t="n">
        <f aca="false">'Daily Summary'!B25</f>
        <v>57500</v>
      </c>
      <c r="C44" s="20" t="n">
        <f aca="false">'Daily Summary'!C25</f>
        <v>57500</v>
      </c>
      <c r="D44" s="20" t="n">
        <f aca="false">'Daily Summary'!D25</f>
        <v>0</v>
      </c>
      <c r="E44" s="21" t="n">
        <f aca="false">'Daily Summary'!E25</f>
        <v>10564945</v>
      </c>
      <c r="F44" s="21" t="n">
        <f aca="false">'Daily Summary'!F25</f>
        <v>10567937.65</v>
      </c>
      <c r="G44" s="21" t="n">
        <f aca="false">'Daily Summary'!G25</f>
        <v>2992.64999999991</v>
      </c>
      <c r="H44" s="21" t="n">
        <f aca="false">'Daily Summary'!H25</f>
        <v>3434.57973625</v>
      </c>
      <c r="I44" s="21" t="n">
        <f aca="false">'Daily Summary'!I25</f>
        <v>446.4953657125</v>
      </c>
      <c r="J44" s="21" t="n">
        <f aca="false">'Daily Summary'!J25</f>
        <v>3881.0751019625</v>
      </c>
      <c r="K44" s="21" t="n">
        <f aca="false">'Daily Summary'!K25</f>
        <v>-888.425101962593</v>
      </c>
      <c r="L44" s="22" t="n">
        <f aca="false">'Daily Summary'!L25</f>
        <v>-8.40917867497269E-005</v>
      </c>
    </row>
    <row r="45" customFormat="false" ht="15" hidden="false" customHeight="false" outlineLevel="0" collapsed="false">
      <c r="A45" s="19" t="n">
        <f aca="false">'Daily Summary'!A26</f>
        <v>46283</v>
      </c>
      <c r="B45" s="20" t="n">
        <f aca="false">'Daily Summary'!B26</f>
        <v>94719</v>
      </c>
      <c r="C45" s="20" t="n">
        <f aca="false">'Daily Summary'!C26</f>
        <v>94719</v>
      </c>
      <c r="D45" s="20" t="n">
        <f aca="false">'Daily Summary'!D26</f>
        <v>0</v>
      </c>
      <c r="E45" s="21" t="n">
        <f aca="false">'Daily Summary'!E26</f>
        <v>14436905.94</v>
      </c>
      <c r="F45" s="21" t="n">
        <f aca="false">'Daily Summary'!F26</f>
        <v>14447051.46</v>
      </c>
      <c r="G45" s="21" t="n">
        <f aca="false">'Daily Summary'!G26</f>
        <v>10145.52</v>
      </c>
      <c r="H45" s="21" t="n">
        <f aca="false">'Daily Summary'!H26</f>
        <v>4695.2917245</v>
      </c>
      <c r="I45" s="21" t="n">
        <f aca="false">'Daily Summary'!I26</f>
        <v>610.387924185</v>
      </c>
      <c r="J45" s="21" t="n">
        <f aca="false">'Daily Summary'!J26</f>
        <v>5305.679648685</v>
      </c>
      <c r="K45" s="21" t="n">
        <f aca="false">'Daily Summary'!K26</f>
        <v>4839.84035131502</v>
      </c>
      <c r="L45" s="22" t="n">
        <f aca="false">'Daily Summary'!L26</f>
        <v>0.000335240831479367</v>
      </c>
    </row>
    <row r="46" customFormat="false" ht="15" hidden="false" customHeight="false" outlineLevel="0" collapsed="false">
      <c r="A46" s="19" t="n">
        <f aca="false">'Daily Summary'!A27</f>
        <v>46293</v>
      </c>
      <c r="B46" s="20" t="n">
        <f aca="false">'Daily Summary'!B27</f>
        <v>143000</v>
      </c>
      <c r="C46" s="20" t="n">
        <f aca="false">'Daily Summary'!C27</f>
        <v>143000</v>
      </c>
      <c r="D46" s="20" t="n">
        <f aca="false">'Daily Summary'!D27</f>
        <v>0</v>
      </c>
      <c r="E46" s="21" t="n">
        <f aca="false">'Daily Summary'!E27</f>
        <v>15324771</v>
      </c>
      <c r="F46" s="21" t="n">
        <f aca="false">'Daily Summary'!F27</f>
        <v>15336029.44</v>
      </c>
      <c r="G46" s="21" t="n">
        <f aca="false">'Daily Summary'!G27</f>
        <v>11258.4399999997</v>
      </c>
      <c r="H46" s="21" t="n">
        <f aca="false">'Daily Summary'!H27</f>
        <v>4771.093818</v>
      </c>
      <c r="I46" s="21" t="n">
        <f aca="false">'Daily Summary'!I27</f>
        <v>620.24219634</v>
      </c>
      <c r="J46" s="21" t="n">
        <f aca="false">'Daily Summary'!J27</f>
        <v>5391.33601434</v>
      </c>
      <c r="K46" s="21" t="n">
        <f aca="false">'Daily Summary'!K27</f>
        <v>5867.10398565965</v>
      </c>
      <c r="L46" s="22" t="n">
        <f aca="false">'Daily Summary'!L27</f>
        <v>0.000382851005451217</v>
      </c>
    </row>
    <row r="47" customFormat="false" ht="15" hidden="false" customHeight="false" outlineLevel="0" collapsed="false">
      <c r="A47" s="19" t="n">
        <f aca="false">'Daily Summary'!A28</f>
        <v>46294</v>
      </c>
      <c r="B47" s="20" t="n">
        <f aca="false">'Daily Summary'!B28</f>
        <v>97000</v>
      </c>
      <c r="C47" s="20" t="n">
        <f aca="false">'Daily Summary'!C28</f>
        <v>97000</v>
      </c>
      <c r="D47" s="20" t="n">
        <f aca="false">'Daily Summary'!D28</f>
        <v>0</v>
      </c>
      <c r="E47" s="21" t="n">
        <f aca="false">'Daily Summary'!E28</f>
        <v>12460825</v>
      </c>
      <c r="F47" s="21" t="n">
        <f aca="false">'Daily Summary'!F28</f>
        <v>12473955</v>
      </c>
      <c r="G47" s="21" t="n">
        <f aca="false">'Daily Summary'!G28</f>
        <v>13130</v>
      </c>
      <c r="H47" s="21" t="n">
        <f aca="false">'Daily Summary'!H28</f>
        <v>4006.77975</v>
      </c>
      <c r="I47" s="21" t="n">
        <f aca="false">'Daily Summary'!I28</f>
        <v>520.8813675</v>
      </c>
      <c r="J47" s="21" t="n">
        <f aca="false">'Daily Summary'!J28</f>
        <v>4527.6611175</v>
      </c>
      <c r="K47" s="21" t="n">
        <f aca="false">'Daily Summary'!K28</f>
        <v>8602.3388825</v>
      </c>
      <c r="L47" s="22" t="n">
        <f aca="false">'Daily Summary'!L28</f>
        <v>0.000690350669598522</v>
      </c>
    </row>
    <row r="48" customFormat="false" ht="15" hidden="false" customHeight="false" outlineLevel="0" collapsed="false">
      <c r="A48" s="19" t="n">
        <f aca="false">'Daily Summary'!A29</f>
        <v>46295</v>
      </c>
      <c r="B48" s="20" t="n">
        <f aca="false">'Daily Summary'!B29</f>
        <v>114485</v>
      </c>
      <c r="C48" s="20" t="n">
        <f aca="false">'Daily Summary'!C29</f>
        <v>114485</v>
      </c>
      <c r="D48" s="20" t="n">
        <f aca="false">'Daily Summary'!D29</f>
        <v>0</v>
      </c>
      <c r="E48" s="21" t="n">
        <f aca="false">'Daily Summary'!E29</f>
        <v>13933420.91</v>
      </c>
      <c r="F48" s="21" t="n">
        <f aca="false">'Daily Summary'!F29</f>
        <v>13941808.11</v>
      </c>
      <c r="G48" s="21" t="n">
        <f aca="false">'Daily Summary'!G29</f>
        <v>8387.19999999972</v>
      </c>
      <c r="H48" s="21" t="n">
        <f aca="false">'Daily Summary'!H29</f>
        <v>4531.08763575</v>
      </c>
      <c r="I48" s="21" t="n">
        <f aca="false">'Daily Summary'!I29</f>
        <v>589.0413926475</v>
      </c>
      <c r="J48" s="21" t="n">
        <f aca="false">'Daily Summary'!J29</f>
        <v>5120.1290283975</v>
      </c>
      <c r="K48" s="21" t="n">
        <f aca="false">'Daily Summary'!K29</f>
        <v>3267.07097160222</v>
      </c>
      <c r="L48" s="22" t="n">
        <f aca="false">'Daily Summary'!L29</f>
        <v>0.00023447730408097</v>
      </c>
    </row>
    <row r="49" customFormat="false" ht="15" hidden="false" customHeight="false" outlineLevel="0" collapsed="false">
      <c r="A49" s="19" t="n">
        <f aca="false">'Daily Summary'!A30</f>
        <v>46296</v>
      </c>
      <c r="B49" s="20" t="n">
        <f aca="false">'Daily Summary'!B30</f>
        <v>61500</v>
      </c>
      <c r="C49" s="20" t="n">
        <f aca="false">'Daily Summary'!C30</f>
        <v>61500</v>
      </c>
      <c r="D49" s="20" t="n">
        <f aca="false">'Daily Summary'!D30</f>
        <v>0</v>
      </c>
      <c r="E49" s="21" t="n">
        <f aca="false">'Daily Summary'!E30</f>
        <v>9592760</v>
      </c>
      <c r="F49" s="21" t="n">
        <f aca="false">'Daily Summary'!F30</f>
        <v>9603580</v>
      </c>
      <c r="G49" s="21" t="n">
        <f aca="false">'Daily Summary'!G30</f>
        <v>10820</v>
      </c>
      <c r="H49" s="21" t="n">
        <f aca="false">'Daily Summary'!H30</f>
        <v>3121.1635</v>
      </c>
      <c r="I49" s="21" t="n">
        <f aca="false">'Daily Summary'!I30</f>
        <v>405.751255</v>
      </c>
      <c r="J49" s="21" t="n">
        <f aca="false">'Daily Summary'!J30</f>
        <v>3526.914755</v>
      </c>
      <c r="K49" s="21" t="n">
        <f aca="false">'Daily Summary'!K30</f>
        <v>7293.085245</v>
      </c>
      <c r="L49" s="22" t="n">
        <f aca="false">'Daily Summary'!L30</f>
        <v>0.000760269749790467</v>
      </c>
    </row>
    <row r="50" customFormat="false" ht="15" hidden="false" customHeight="false" outlineLevel="0" collapsed="false">
      <c r="A50" s="19" t="n">
        <f aca="false">'Daily Summary'!A31</f>
        <v>46297</v>
      </c>
      <c r="B50" s="20" t="n">
        <f aca="false">'Daily Summary'!B31</f>
        <v>35500</v>
      </c>
      <c r="C50" s="20" t="n">
        <f aca="false">'Daily Summary'!C31</f>
        <v>35500</v>
      </c>
      <c r="D50" s="20" t="n">
        <f aca="false">'Daily Summary'!D31</f>
        <v>0</v>
      </c>
      <c r="E50" s="21" t="n">
        <f aca="false">'Daily Summary'!E31</f>
        <v>8710670</v>
      </c>
      <c r="F50" s="21" t="n">
        <f aca="false">'Daily Summary'!F31</f>
        <v>8714260</v>
      </c>
      <c r="G50" s="21" t="n">
        <f aca="false">'Daily Summary'!G31</f>
        <v>3590</v>
      </c>
      <c r="H50" s="21" t="n">
        <f aca="false">'Daily Summary'!H31</f>
        <v>2832.1345</v>
      </c>
      <c r="I50" s="21" t="n">
        <f aca="false">'Daily Summary'!I31</f>
        <v>368.177485</v>
      </c>
      <c r="J50" s="21" t="n">
        <f aca="false">'Daily Summary'!J31</f>
        <v>3200.311985</v>
      </c>
      <c r="K50" s="21" t="n">
        <f aca="false">'Daily Summary'!K31</f>
        <v>389.688015</v>
      </c>
      <c r="L50" s="22" t="n">
        <f aca="false">'Daily Summary'!L31</f>
        <v>4.47368589327801E-005</v>
      </c>
    </row>
    <row r="51" customFormat="false" ht="15" hidden="false" customHeight="false" outlineLevel="0" collapsed="false">
      <c r="A51" s="19" t="n">
        <f aca="false">'Daily Summary'!A32</f>
        <v>46300</v>
      </c>
      <c r="B51" s="20" t="n">
        <f aca="false">'Daily Summary'!B32</f>
        <v>60000</v>
      </c>
      <c r="C51" s="20" t="n">
        <f aca="false">'Daily Summary'!C32</f>
        <v>60000</v>
      </c>
      <c r="D51" s="20" t="n">
        <f aca="false">'Daily Summary'!D32</f>
        <v>0</v>
      </c>
      <c r="E51" s="21" t="n">
        <f aca="false">'Daily Summary'!E32</f>
        <v>6890615</v>
      </c>
      <c r="F51" s="21" t="n">
        <f aca="false">'Daily Summary'!F32</f>
        <v>6893846.33</v>
      </c>
      <c r="G51" s="21" t="n">
        <f aca="false">'Daily Summary'!G32</f>
        <v>3231.33000000007</v>
      </c>
      <c r="H51" s="21" t="n">
        <f aca="false">'Daily Summary'!H32</f>
        <v>2240.50005725</v>
      </c>
      <c r="I51" s="21" t="n">
        <f aca="false">'Daily Summary'!I32</f>
        <v>291.2650074425</v>
      </c>
      <c r="J51" s="21" t="n">
        <f aca="false">'Daily Summary'!J32</f>
        <v>2531.7650646925</v>
      </c>
      <c r="K51" s="21" t="n">
        <f aca="false">'Daily Summary'!K32</f>
        <v>699.564935307575</v>
      </c>
      <c r="L51" s="22" t="n">
        <f aca="false">'Daily Summary'!L32</f>
        <v>0.000101524310283999</v>
      </c>
    </row>
    <row r="52" customFormat="false" ht="15" hidden="false" customHeight="false" outlineLevel="0" collapsed="false">
      <c r="A52" s="19" t="n">
        <f aca="false">'Daily Summary'!A33</f>
        <v>46301</v>
      </c>
      <c r="B52" s="20" t="n">
        <f aca="false">'Daily Summary'!B33</f>
        <v>126235</v>
      </c>
      <c r="C52" s="20" t="n">
        <f aca="false">'Daily Summary'!C33</f>
        <v>126235</v>
      </c>
      <c r="D52" s="20" t="n">
        <f aca="false">'Daily Summary'!D33</f>
        <v>0</v>
      </c>
      <c r="E52" s="21" t="n">
        <f aca="false">'Daily Summary'!E33</f>
        <v>19094353.85</v>
      </c>
      <c r="F52" s="21" t="n">
        <f aca="false">'Daily Summary'!F33</f>
        <v>19099591.11</v>
      </c>
      <c r="G52" s="21" t="n">
        <f aca="false">'Daily Summary'!G33</f>
        <v>5237.25999999978</v>
      </c>
      <c r="H52" s="21" t="n">
        <f aca="false">'Daily Summary'!H33</f>
        <v>5871.66623575</v>
      </c>
      <c r="I52" s="21" t="n">
        <f aca="false">'Daily Summary'!I33</f>
        <v>763.3166106475</v>
      </c>
      <c r="J52" s="21" t="n">
        <f aca="false">'Daily Summary'!J33</f>
        <v>6634.9828463975</v>
      </c>
      <c r="K52" s="21" t="n">
        <f aca="false">'Daily Summary'!K33</f>
        <v>-1397.72284639772</v>
      </c>
      <c r="L52" s="22" t="n">
        <f aca="false">'Daily Summary'!L33</f>
        <v>-7.32008455157922E-005</v>
      </c>
    </row>
    <row r="53" customFormat="false" ht="15" hidden="false" customHeight="false" outlineLevel="0" collapsed="false">
      <c r="A53" s="19" t="n">
        <f aca="false">'Daily Summary'!A34</f>
        <v>46302</v>
      </c>
      <c r="B53" s="20" t="n">
        <f aca="false">'Daily Summary'!B34</f>
        <v>114400</v>
      </c>
      <c r="C53" s="20" t="n">
        <f aca="false">'Daily Summary'!C34</f>
        <v>114400</v>
      </c>
      <c r="D53" s="20" t="n">
        <f aca="false">'Daily Summary'!D34</f>
        <v>0</v>
      </c>
      <c r="E53" s="21" t="n">
        <f aca="false">'Daily Summary'!E34</f>
        <v>15990980.2</v>
      </c>
      <c r="F53" s="21" t="n">
        <f aca="false">'Daily Summary'!F34</f>
        <v>16004711.04</v>
      </c>
      <c r="G53" s="21" t="n">
        <f aca="false">'Daily Summary'!G34</f>
        <v>13730.8400000001</v>
      </c>
      <c r="H53" s="21" t="n">
        <f aca="false">'Daily Summary'!H34</f>
        <v>5201.531088</v>
      </c>
      <c r="I53" s="21" t="n">
        <f aca="false">'Daily Summary'!I34</f>
        <v>676.19904144</v>
      </c>
      <c r="J53" s="21" t="n">
        <f aca="false">'Daily Summary'!J34</f>
        <v>5877.73012944</v>
      </c>
      <c r="K53" s="21" t="n">
        <f aca="false">'Daily Summary'!K34</f>
        <v>7853.10987056008</v>
      </c>
      <c r="L53" s="22" t="n">
        <f aca="false">'Daily Summary'!L34</f>
        <v>0.000491096216263221</v>
      </c>
    </row>
    <row r="54" customFormat="false" ht="15" hidden="false" customHeight="false" outlineLevel="0" collapsed="false">
      <c r="A54" s="19" t="n">
        <f aca="false">'Daily Summary'!A35</f>
        <v>46303</v>
      </c>
      <c r="B54" s="20" t="n">
        <f aca="false">'Daily Summary'!B35</f>
        <v>62859</v>
      </c>
      <c r="C54" s="20" t="n">
        <f aca="false">'Daily Summary'!C35</f>
        <v>62859</v>
      </c>
      <c r="D54" s="20" t="n">
        <f aca="false">'Daily Summary'!D35</f>
        <v>0</v>
      </c>
      <c r="E54" s="21" t="n">
        <f aca="false">'Daily Summary'!E35</f>
        <v>9701743.2</v>
      </c>
      <c r="F54" s="21" t="n">
        <f aca="false">'Daily Summary'!F35</f>
        <v>9715115.39</v>
      </c>
      <c r="G54" s="21" t="n">
        <f aca="false">'Daily Summary'!G35</f>
        <v>13372.19</v>
      </c>
      <c r="H54" s="21" t="n">
        <f aca="false">'Daily Summary'!H35</f>
        <v>3157.41250175</v>
      </c>
      <c r="I54" s="21" t="n">
        <f aca="false">'Daily Summary'!I35</f>
        <v>410.4636252275</v>
      </c>
      <c r="J54" s="21" t="n">
        <f aca="false">'Daily Summary'!J35</f>
        <v>3567.8761269775</v>
      </c>
      <c r="K54" s="21" t="n">
        <f aca="false">'Daily Summary'!K35</f>
        <v>9804.3138730225</v>
      </c>
      <c r="L54" s="22" t="n">
        <f aca="false">'Daily Summary'!L35</f>
        <v>0.0010105723962084</v>
      </c>
    </row>
    <row r="55" customFormat="false" ht="15" hidden="false" customHeight="false" outlineLevel="0" collapsed="false">
      <c r="A55" s="19" t="n">
        <f aca="false">'Daily Summary'!A36</f>
        <v>46304</v>
      </c>
      <c r="B55" s="20" t="n">
        <f aca="false">'Daily Summary'!B36</f>
        <v>28000</v>
      </c>
      <c r="C55" s="20" t="n">
        <f aca="false">'Daily Summary'!C36</f>
        <v>28000</v>
      </c>
      <c r="D55" s="20" t="n">
        <f aca="false">'Daily Summary'!D36</f>
        <v>0</v>
      </c>
      <c r="E55" s="21" t="n">
        <f aca="false">'Daily Summary'!E36</f>
        <v>3975465</v>
      </c>
      <c r="F55" s="21" t="n">
        <f aca="false">'Daily Summary'!F36</f>
        <v>3982225</v>
      </c>
      <c r="G55" s="21" t="n">
        <f aca="false">'Daily Summary'!G36</f>
        <v>6760</v>
      </c>
      <c r="H55" s="21" t="n">
        <f aca="false">'Daily Summary'!H36</f>
        <v>1294.223125</v>
      </c>
      <c r="I55" s="21" t="n">
        <f aca="false">'Daily Summary'!I36</f>
        <v>168.24900625</v>
      </c>
      <c r="J55" s="21" t="n">
        <f aca="false">'Daily Summary'!J36</f>
        <v>1462.47213125</v>
      </c>
      <c r="K55" s="21" t="n">
        <f aca="false">'Daily Summary'!K36</f>
        <v>5297.52786875</v>
      </c>
      <c r="L55" s="22" t="n">
        <f aca="false">'Daily Summary'!L36</f>
        <v>0.0013325555296676</v>
      </c>
    </row>
    <row r="56" customFormat="false" ht="15" hidden="false" customHeight="false" outlineLevel="0" collapsed="false">
      <c r="A56" s="19" t="n">
        <f aca="false">'Daily Summary'!A37</f>
        <v>46307</v>
      </c>
      <c r="B56" s="20" t="n">
        <f aca="false">'Daily Summary'!B37</f>
        <v>119500</v>
      </c>
      <c r="C56" s="20" t="n">
        <f aca="false">'Daily Summary'!C37</f>
        <v>119500</v>
      </c>
      <c r="D56" s="20" t="n">
        <f aca="false">'Daily Summary'!D37</f>
        <v>0</v>
      </c>
      <c r="E56" s="21" t="n">
        <f aca="false">'Daily Summary'!E37</f>
        <v>13087568</v>
      </c>
      <c r="F56" s="21" t="n">
        <f aca="false">'Daily Summary'!F37</f>
        <v>13093430</v>
      </c>
      <c r="G56" s="21" t="n">
        <f aca="false">'Daily Summary'!G37</f>
        <v>5862</v>
      </c>
      <c r="H56" s="21" t="n">
        <f aca="false">'Daily Summary'!H37</f>
        <v>4088.782</v>
      </c>
      <c r="I56" s="21" t="n">
        <f aca="false">'Daily Summary'!I37</f>
        <v>531.54166</v>
      </c>
      <c r="J56" s="21" t="n">
        <f aca="false">'Daily Summary'!J37</f>
        <v>4620.32366</v>
      </c>
      <c r="K56" s="21" t="n">
        <f aca="false">'Daily Summary'!K37</f>
        <v>1241.67634</v>
      </c>
      <c r="L56" s="22" t="n">
        <f aca="false">'Daily Summary'!L37</f>
        <v>9.48744900504051E-005</v>
      </c>
    </row>
    <row r="57" customFormat="false" ht="15" hidden="false" customHeight="false" outlineLevel="0" collapsed="false">
      <c r="A57" s="19" t="n">
        <f aca="false">'Daily Summary'!A38</f>
        <v>46308</v>
      </c>
      <c r="B57" s="20" t="n">
        <f aca="false">'Daily Summary'!B38</f>
        <v>111000</v>
      </c>
      <c r="C57" s="20" t="n">
        <f aca="false">'Daily Summary'!C38</f>
        <v>111000</v>
      </c>
      <c r="D57" s="20" t="n">
        <f aca="false">'Daily Summary'!D38</f>
        <v>0</v>
      </c>
      <c r="E57" s="21" t="n">
        <f aca="false">'Daily Summary'!E38</f>
        <v>8618263</v>
      </c>
      <c r="F57" s="21" t="n">
        <f aca="false">'Daily Summary'!F38</f>
        <v>8617447</v>
      </c>
      <c r="G57" s="21" t="n">
        <f aca="false">'Daily Summary'!G38</f>
        <v>-816</v>
      </c>
      <c r="H57" s="21" t="n">
        <f aca="false">'Daily Summary'!H38</f>
        <v>2112.74715</v>
      </c>
      <c r="I57" s="21" t="n">
        <f aca="false">'Daily Summary'!I38</f>
        <v>274.6571295</v>
      </c>
      <c r="J57" s="21" t="n">
        <f aca="false">'Daily Summary'!J38</f>
        <v>2387.4042795</v>
      </c>
      <c r="K57" s="21" t="n">
        <f aca="false">'Daily Summary'!K38</f>
        <v>-3203.4042795</v>
      </c>
      <c r="L57" s="22" t="n">
        <f aca="false">'Daily Summary'!L38</f>
        <v>-0.000371699526865216</v>
      </c>
    </row>
    <row r="58" customFormat="false" ht="15" hidden="false" customHeight="false" outlineLevel="0" collapsed="false">
      <c r="A58" s="19" t="n">
        <f aca="false">'Daily Summary'!A39</f>
        <v>46310</v>
      </c>
      <c r="B58" s="20" t="n">
        <f aca="false">'Daily Summary'!B39</f>
        <v>72500</v>
      </c>
      <c r="C58" s="20" t="n">
        <f aca="false">'Daily Summary'!C39</f>
        <v>72500</v>
      </c>
      <c r="D58" s="20" t="n">
        <f aca="false">'Daily Summary'!D39</f>
        <v>0</v>
      </c>
      <c r="E58" s="21" t="n">
        <f aca="false">'Daily Summary'!E39</f>
        <v>11671305</v>
      </c>
      <c r="F58" s="21" t="n">
        <f aca="false">'Daily Summary'!F39</f>
        <v>11678640</v>
      </c>
      <c r="G58" s="21" t="n">
        <f aca="false">'Daily Summary'!G39</f>
        <v>7335</v>
      </c>
      <c r="H58" s="21" t="n">
        <f aca="false">'Daily Summary'!H39</f>
        <v>3795.558</v>
      </c>
      <c r="I58" s="21" t="n">
        <f aca="false">'Daily Summary'!I39</f>
        <v>493.42254</v>
      </c>
      <c r="J58" s="21" t="n">
        <f aca="false">'Daily Summary'!J39</f>
        <v>4288.98054</v>
      </c>
      <c r="K58" s="21" t="n">
        <f aca="false">'Daily Summary'!K39</f>
        <v>3046.01946</v>
      </c>
      <c r="L58" s="22" t="n">
        <f aca="false">'Daily Summary'!L39</f>
        <v>0.000260983622654022</v>
      </c>
    </row>
    <row r="59" customFormat="false" ht="15" hidden="false" customHeight="false" outlineLevel="0" collapsed="false">
      <c r="A59" s="19" t="n">
        <f aca="false">'Daily Summary'!A40</f>
        <v>46311</v>
      </c>
      <c r="B59" s="20" t="n">
        <f aca="false">'Daily Summary'!B40</f>
        <v>22500</v>
      </c>
      <c r="C59" s="20" t="n">
        <f aca="false">'Daily Summary'!C40</f>
        <v>22500</v>
      </c>
      <c r="D59" s="20" t="n">
        <f aca="false">'Daily Summary'!D40</f>
        <v>0</v>
      </c>
      <c r="E59" s="21" t="n">
        <f aca="false">'Daily Summary'!E40</f>
        <v>4845060</v>
      </c>
      <c r="F59" s="21" t="n">
        <f aca="false">'Daily Summary'!F40</f>
        <v>4855610</v>
      </c>
      <c r="G59" s="21" t="n">
        <f aca="false">'Daily Summary'!G40</f>
        <v>10550</v>
      </c>
      <c r="H59" s="21" t="n">
        <f aca="false">'Daily Summary'!H40</f>
        <v>1578.07325</v>
      </c>
      <c r="I59" s="21" t="n">
        <f aca="false">'Daily Summary'!I40</f>
        <v>205.1495225</v>
      </c>
      <c r="J59" s="21" t="n">
        <f aca="false">'Daily Summary'!J40</f>
        <v>1783.2227725</v>
      </c>
      <c r="K59" s="21" t="n">
        <f aca="false">'Daily Summary'!K40</f>
        <v>8766.7772275</v>
      </c>
      <c r="L59" s="22" t="n">
        <f aca="false">'Daily Summary'!L40</f>
        <v>0.00180942593641771</v>
      </c>
    </row>
    <row r="60" customFormat="false" ht="15" hidden="false" customHeight="false" outlineLevel="0" collapsed="false">
      <c r="A60" s="23" t="s">
        <v>42</v>
      </c>
      <c r="B60" s="24" t="n">
        <f aca="false">SUM(B24:B59)</f>
        <v>2612821</v>
      </c>
      <c r="C60" s="24" t="n">
        <f aca="false">SUM(C24:C59)</f>
        <v>2612821</v>
      </c>
      <c r="D60" s="24" t="n">
        <f aca="false">$B60-$C60</f>
        <v>0</v>
      </c>
      <c r="E60" s="25" t="n">
        <f aca="false">SUM(E24:E59)</f>
        <v>403231367.88</v>
      </c>
      <c r="F60" s="25" t="n">
        <f aca="false">SUM(F24:F59)</f>
        <v>403570742.02</v>
      </c>
      <c r="G60" s="25" t="n">
        <f aca="false">SUM(G24:G59)</f>
        <v>339374.139999999</v>
      </c>
      <c r="H60" s="25" t="n">
        <f aca="false">SUM(H24:H59)</f>
        <v>129301.3531565</v>
      </c>
      <c r="I60" s="25" t="n">
        <f aca="false">SUM(I24:I59)</f>
        <v>16809.175910345</v>
      </c>
      <c r="J60" s="25" t="n">
        <f aca="false">SUM(J24:J59)</f>
        <v>146110.529066845</v>
      </c>
      <c r="K60" s="25" t="n">
        <f aca="false">SUM(K24:K59)</f>
        <v>193263.610933154</v>
      </c>
      <c r="L60" s="26" t="n">
        <f aca="false">IF($E60=0,"",$K60/$E60)</f>
        <v>0.000479287144621816</v>
      </c>
    </row>
  </sheetData>
  <conditionalFormatting sqref="G24:L60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B15:B20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P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5" min="14" style="0" width="14"/>
    <col collapsed="false" customWidth="true" hidden="false" outlineLevel="0" max="16" min="16" style="0" width="11"/>
  </cols>
  <sheetData>
    <row r="1" customFormat="false" ht="19.7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30" hidden="false" customHeight="true" outlineLevel="0" collapsed="false">
      <c r="A4" s="18" t="s">
        <v>59</v>
      </c>
      <c r="B4" s="18" t="s">
        <v>33</v>
      </c>
      <c r="C4" s="18" t="s">
        <v>36</v>
      </c>
      <c r="D4" s="18" t="s">
        <v>60</v>
      </c>
      <c r="E4" s="18" t="s">
        <v>34</v>
      </c>
      <c r="F4" s="18" t="s">
        <v>37</v>
      </c>
      <c r="G4" s="18" t="s">
        <v>61</v>
      </c>
      <c r="H4" s="18" t="s">
        <v>62</v>
      </c>
      <c r="I4" s="18" t="s">
        <v>35</v>
      </c>
      <c r="J4" s="18" t="s">
        <v>38</v>
      </c>
      <c r="K4" s="18" t="s">
        <v>63</v>
      </c>
      <c r="L4" s="18" t="s">
        <v>39</v>
      </c>
      <c r="M4" s="18" t="s">
        <v>64</v>
      </c>
      <c r="N4" s="18" t="s">
        <v>41</v>
      </c>
      <c r="O4" s="18" t="s">
        <v>7</v>
      </c>
      <c r="P4" s="18" t="s">
        <v>8</v>
      </c>
    </row>
    <row r="5" customFormat="false" ht="15" hidden="false" customHeight="false" outlineLevel="0" collapsed="false">
      <c r="A5" s="32" t="n">
        <v>46235</v>
      </c>
      <c r="B5" s="33" t="n">
        <f aca="false">SUMIFS('Daily Summary'!$B$5:$B$404,'Daily Summary'!$A$5:$A$404,"&gt;="&amp;$A5,'Daily Summary'!$A$5:$A$404,"&lt;"&amp;DATE(YEAR($A5),MONTH($A5)+1,1))</f>
        <v>563001</v>
      </c>
      <c r="C5" s="33" t="n">
        <f aca="false">SUMIFS('Daily Summary'!$E$5:$E$404,'Daily Summary'!$A$5:$A$404,"&gt;="&amp;$A5,'Daily Summary'!$A$5:$A$404,"&lt;"&amp;DATE(YEAR($A5),MONTH($A5)+1,1))</f>
        <v>104937452.37</v>
      </c>
      <c r="D5" s="9" t="n">
        <f aca="false">IF($B5=0,"",$C5/$B5)</f>
        <v>186.389460000959</v>
      </c>
      <c r="E5" s="33" t="n">
        <f aca="false">SUMIFS('Daily Summary'!$C$5:$C$404,'Daily Summary'!$A$5:$A$404,"&gt;="&amp;$A5,'Daily Summary'!$A$5:$A$404,"&lt;"&amp;DATE(YEAR($A5),MONTH($A5)+1,1))</f>
        <v>563001</v>
      </c>
      <c r="F5" s="6" t="n">
        <f aca="false">SUMIFS('Daily Summary'!$F$5:$F$404,'Daily Summary'!$A$5:$A$404,"&gt;="&amp;$A5,'Daily Summary'!$A$5:$A$404,"&lt;"&amp;DATE(YEAR($A5),MONTH($A5)+1,1))</f>
        <v>105061985.57</v>
      </c>
      <c r="G5" s="9" t="n">
        <f aca="false">IF($E5=0,"",$F5/$E5)</f>
        <v>186.610655345195</v>
      </c>
      <c r="H5" s="9" t="n">
        <f aca="false">IF(OR($B5=0,$E5=0),"N/A",$G5-$D5)</f>
        <v>0.221195344235582</v>
      </c>
      <c r="I5" s="33" t="n">
        <f aca="false">$B5-$E5</f>
        <v>0</v>
      </c>
      <c r="J5" s="9" t="n">
        <f aca="false">SUMIFS('Daily Summary'!$G$5:$G$404,'Daily Summary'!$A$5:$A$404,"&gt;="&amp;$A5,'Daily Summary'!$A$5:$A$404,"&lt;"&amp;DATE(YEAR($A5),MONTH($A5)+1,1))</f>
        <v>124533.2</v>
      </c>
      <c r="K5" s="6" t="str">
        <f aca="false">IF($E5=0,"—",IF($G5&gt;=Comm_Slab2_Start,"0.0325% of sell value","0.0175 paisa per share"))</f>
        <v>0.0325% of sell value</v>
      </c>
      <c r="L5" s="9" t="n">
        <f aca="false">SUMIFS('Daily Summary'!$H$5:$H$404,'Daily Summary'!$A$5:$A$404,"&gt;="&amp;$A5,'Daily Summary'!$A$5:$A$404,"&lt;"&amp;DATE(YEAR($A5),MONTH($A5)+1,1))</f>
        <v>33845.95156025</v>
      </c>
      <c r="M5" s="9" t="n">
        <f aca="false">SUMIFS('Daily Summary'!$I$5:$I$404,'Daily Summary'!$A$5:$A$404,"&gt;="&amp;$A5,'Daily Summary'!$A$5:$A$404,"&lt;"&amp;DATE(YEAR($A5),MONTH($A5)+1,1))</f>
        <v>4399.9737028325</v>
      </c>
      <c r="N5" s="9" t="n">
        <f aca="false">$L5+$M5</f>
        <v>38245.9252630825</v>
      </c>
      <c r="O5" s="9" t="n">
        <f aca="false">SUMIFS('Daily Summary'!$K$5:$K$404,'Daily Summary'!$A$5:$A$404,"&gt;="&amp;$A5,'Daily Summary'!$A$5:$A$404,"&lt;"&amp;DATE(YEAR($A5),MONTH($A5)+1,1))</f>
        <v>86287.2747369172</v>
      </c>
      <c r="P5" s="10" t="n">
        <f aca="false">IF($C5=0,"N/A",$O5/$C5)</f>
        <v>0.000822273390368541</v>
      </c>
    </row>
    <row r="6" customFormat="false" ht="15" hidden="false" customHeight="false" outlineLevel="0" collapsed="false">
      <c r="A6" s="32" t="n">
        <v>46266</v>
      </c>
      <c r="B6" s="33" t="n">
        <f aca="false">SUMIFS('Daily Summary'!$B$5:$B$404,'Daily Summary'!$A$5:$A$404,"&gt;="&amp;$A6,'Daily Summary'!$A$5:$A$404,"&lt;"&amp;DATE(YEAR($A6),MONTH($A6)+1,1))</f>
        <v>1235826</v>
      </c>
      <c r="C6" s="33" t="n">
        <f aca="false">SUMIFS('Daily Summary'!$E$5:$E$404,'Daily Summary'!$A$5:$A$404,"&gt;="&amp;$A6,'Daily Summary'!$A$5:$A$404,"&lt;"&amp;DATE(YEAR($A6),MONTH($A6)+1,1))</f>
        <v>186115132.26</v>
      </c>
      <c r="D6" s="9" t="n">
        <f aca="false">IF($B6=0,"",$C6/$B6)</f>
        <v>150.59978691175</v>
      </c>
      <c r="E6" s="33" t="n">
        <f aca="false">SUMIFS('Daily Summary'!$C$5:$C$404,'Daily Summary'!$A$5:$A$404,"&gt;="&amp;$A6,'Daily Summary'!$A$5:$A$404,"&lt;"&amp;DATE(YEAR($A6),MONTH($A6)+1,1))</f>
        <v>1235826</v>
      </c>
      <c r="F6" s="6" t="n">
        <f aca="false">SUMIFS('Daily Summary'!$F$5:$F$404,'Daily Summary'!$A$5:$A$404,"&gt;="&amp;$A6,'Daily Summary'!$A$5:$A$404,"&lt;"&amp;DATE(YEAR($A6),MONTH($A6)+1,1))</f>
        <v>186250300.58</v>
      </c>
      <c r="G6" s="9" t="n">
        <f aca="false">IF($E6=0,"",$F6/$E6)</f>
        <v>150.709161791385</v>
      </c>
      <c r="H6" s="9" t="n">
        <f aca="false">IF(OR($B6=0,$E6=0),"N/A",$G6-$D6)</f>
        <v>0.109374879635169</v>
      </c>
      <c r="I6" s="33" t="n">
        <f aca="false">$B6-$E6</f>
        <v>0</v>
      </c>
      <c r="J6" s="9" t="n">
        <f aca="false">SUMIFS('Daily Summary'!$G$5:$G$404,'Daily Summary'!$A$5:$A$404,"&gt;="&amp;$A6,'Daily Summary'!$A$5:$A$404,"&lt;"&amp;DATE(YEAR($A6),MONTH($A6)+1,1))</f>
        <v>135168.32</v>
      </c>
      <c r="K6" s="6" t="str">
        <f aca="false">IF($E6=0,"—",IF($G6&gt;=Comm_Slab2_Start,"0.0325% of sell value","0.0175 paisa per share"))</f>
        <v>0.0325% of sell value</v>
      </c>
      <c r="L6" s="9" t="n">
        <f aca="false">SUMIFS('Daily Summary'!$H$5:$H$404,'Daily Summary'!$A$5:$A$404,"&gt;="&amp;$A6,'Daily Summary'!$A$5:$A$404,"&lt;"&amp;DATE(YEAR($A6),MONTH($A6)+1,1))</f>
        <v>60161.6101885</v>
      </c>
      <c r="M6" s="9" t="n">
        <f aca="false">SUMIFS('Daily Summary'!$I$5:$I$404,'Daily Summary'!$A$5:$A$404,"&gt;="&amp;$A6,'Daily Summary'!$A$5:$A$404,"&lt;"&amp;DATE(YEAR($A6),MONTH($A6)+1,1))</f>
        <v>7821.009324505</v>
      </c>
      <c r="N6" s="9" t="n">
        <f aca="false">$L6+$M6</f>
        <v>67982.619513005</v>
      </c>
      <c r="O6" s="9" t="n">
        <f aca="false">SUMIFS('Daily Summary'!$K$5:$K$404,'Daily Summary'!$A$5:$A$404,"&gt;="&amp;$A6,'Daily Summary'!$A$5:$A$404,"&lt;"&amp;DATE(YEAR($A6),MONTH($A6)+1,1))</f>
        <v>67185.7004869947</v>
      </c>
      <c r="P6" s="10" t="n">
        <f aca="false">IF($C6=0,"N/A",$O6/$C6)</f>
        <v>0.000360989994049153</v>
      </c>
    </row>
    <row r="7" customFormat="false" ht="15" hidden="false" customHeight="false" outlineLevel="0" collapsed="false">
      <c r="A7" s="32" t="n">
        <v>46296</v>
      </c>
      <c r="B7" s="33" t="n">
        <f aca="false">SUMIFS('Daily Summary'!$B$5:$B$404,'Daily Summary'!$A$5:$A$404,"&gt;="&amp;$A7,'Daily Summary'!$A$5:$A$404,"&lt;"&amp;DATE(YEAR($A7),MONTH($A7)+1,1))</f>
        <v>813994</v>
      </c>
      <c r="C7" s="33" t="n">
        <f aca="false">SUMIFS('Daily Summary'!$E$5:$E$404,'Daily Summary'!$A$5:$A$404,"&gt;="&amp;$A7,'Daily Summary'!$A$5:$A$404,"&lt;"&amp;DATE(YEAR($A7),MONTH($A7)+1,1))</f>
        <v>112178783.25</v>
      </c>
      <c r="D7" s="9" t="n">
        <f aca="false">IF($B7=0,"",$C7/$B7)</f>
        <v>137.812788853481</v>
      </c>
      <c r="E7" s="33" t="n">
        <f aca="false">SUMIFS('Daily Summary'!$C$5:$C$404,'Daily Summary'!$A$5:$A$404,"&gt;="&amp;$A7,'Daily Summary'!$A$5:$A$404,"&lt;"&amp;DATE(YEAR($A7),MONTH($A7)+1,1))</f>
        <v>813994</v>
      </c>
      <c r="F7" s="6" t="n">
        <f aca="false">SUMIFS('Daily Summary'!$F$5:$F$404,'Daily Summary'!$A$5:$A$404,"&gt;="&amp;$A7,'Daily Summary'!$A$5:$A$404,"&lt;"&amp;DATE(YEAR($A7),MONTH($A7)+1,1))</f>
        <v>112258455.87</v>
      </c>
      <c r="G7" s="9" t="n">
        <f aca="false">IF($E7=0,"",$F7/$E7)</f>
        <v>137.910667486493</v>
      </c>
      <c r="H7" s="9" t="n">
        <f aca="false">IF(OR($B7=0,$E7=0),"N/A",$G7-$D7)</f>
        <v>0.0978786330120443</v>
      </c>
      <c r="I7" s="33" t="n">
        <f aca="false">$B7-$E7</f>
        <v>0</v>
      </c>
      <c r="J7" s="9" t="n">
        <f aca="false">SUMIFS('Daily Summary'!$G$5:$G$404,'Daily Summary'!$A$5:$A$404,"&gt;="&amp;$A7,'Daily Summary'!$A$5:$A$404,"&lt;"&amp;DATE(YEAR($A7),MONTH($A7)+1,1))</f>
        <v>79672.6199999999</v>
      </c>
      <c r="K7" s="6" t="str">
        <f aca="false">IF($E7=0,"—",IF($G7&gt;=Comm_Slab2_Start,"0.0325% of sell value","0.0175 paisa per share"))</f>
        <v>0.0325% of sell value</v>
      </c>
      <c r="L7" s="9" t="n">
        <f aca="false">SUMIFS('Daily Summary'!$H$5:$H$404,'Daily Summary'!$A$5:$A$404,"&gt;="&amp;$A7,'Daily Summary'!$A$5:$A$404,"&lt;"&amp;DATE(YEAR($A7),MONTH($A7)+1,1))</f>
        <v>35293.79140775</v>
      </c>
      <c r="M7" s="9" t="n">
        <f aca="false">SUMIFS('Daily Summary'!$I$5:$I$404,'Daily Summary'!$A$5:$A$404,"&gt;="&amp;$A7,'Daily Summary'!$A$5:$A$404,"&lt;"&amp;DATE(YEAR($A7),MONTH($A7)+1,1))</f>
        <v>4588.1928830075</v>
      </c>
      <c r="N7" s="9" t="n">
        <f aca="false">$L7+$M7</f>
        <v>39881.9842907575</v>
      </c>
      <c r="O7" s="9" t="n">
        <f aca="false">SUMIFS('Daily Summary'!$K$5:$K$404,'Daily Summary'!$A$5:$A$404,"&gt;="&amp;$A7,'Daily Summary'!$A$5:$A$404,"&lt;"&amp;DATE(YEAR($A7),MONTH($A7)+1,1))</f>
        <v>39790.6357092424</v>
      </c>
      <c r="P7" s="10" t="n">
        <f aca="false">IF($C7=0,"N/A",$O7/$C7)</f>
        <v>0.000354707321263822</v>
      </c>
    </row>
    <row r="8" customFormat="false" ht="15" hidden="false" customHeight="false" outlineLevel="0" collapsed="false">
      <c r="A8" s="34" t="s">
        <v>42</v>
      </c>
      <c r="B8" s="24" t="n">
        <f aca="false">SUM(B5:B7)</f>
        <v>2612821</v>
      </c>
      <c r="C8" s="24" t="n">
        <f aca="false">SUM(C5:C7)</f>
        <v>403231367.88</v>
      </c>
      <c r="D8" s="25" t="n">
        <f aca="false">IF($B8=0,"",$C8/$B8)</f>
        <v>154.327972670152</v>
      </c>
      <c r="E8" s="24" t="n">
        <f aca="false">SUM(E5:E7)</f>
        <v>2612821</v>
      </c>
      <c r="F8" s="34" t="n">
        <f aca="false">SUM(F5:F7)</f>
        <v>403570742.02</v>
      </c>
      <c r="G8" s="25" t="n">
        <f aca="false">IF($E8=0,"",$F8/$E8)</f>
        <v>154.457860687739</v>
      </c>
      <c r="H8" s="25" t="n">
        <f aca="false">IF(OR($B8=0,$E8=0),"N/A",$G8-$D8)</f>
        <v>0.12988801758712</v>
      </c>
      <c r="I8" s="24" t="n">
        <f aca="false">$B8-$E8</f>
        <v>0</v>
      </c>
      <c r="J8" s="25" t="n">
        <f aca="false">SUM(J5:J7)</f>
        <v>339374.139999999</v>
      </c>
      <c r="K8" s="34"/>
      <c r="L8" s="25" t="n">
        <f aca="false">SUM(L5:L7)</f>
        <v>129301.3531565</v>
      </c>
      <c r="M8" s="25" t="n">
        <f aca="false">SUM(M5:M7)</f>
        <v>16809.175910345</v>
      </c>
      <c r="N8" s="25" t="n">
        <f aca="false">$L8+$M8</f>
        <v>146110.529066845</v>
      </c>
      <c r="O8" s="25" t="n">
        <f aca="false">SUM(O5:O7)</f>
        <v>193263.610933154</v>
      </c>
      <c r="P8" s="26" t="n">
        <f aca="false">IF($C8=0,"N/A",$O8/$C8)</f>
        <v>0.000479287144621816</v>
      </c>
    </row>
    <row r="10" customFormat="false" ht="15" hidden="false" customHeight="false" outlineLevel="0" collapsed="false">
      <c r="A10" s="2" t="s">
        <v>65</v>
      </c>
    </row>
  </sheetData>
  <autoFilter ref="A4:P7"/>
  <conditionalFormatting sqref="J5:J8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N5:O8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P5:P8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P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5" min="14" style="0" width="14"/>
    <col collapsed="false" customWidth="true" hidden="false" outlineLevel="0" max="16" min="16" style="0" width="11"/>
  </cols>
  <sheetData>
    <row r="1" customFormat="false" ht="19.7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4" customFormat="false" ht="30" hidden="false" customHeight="true" outlineLevel="0" collapsed="false">
      <c r="A4" s="18" t="s">
        <v>68</v>
      </c>
      <c r="B4" s="18" t="s">
        <v>33</v>
      </c>
      <c r="C4" s="18" t="s">
        <v>36</v>
      </c>
      <c r="D4" s="18" t="s">
        <v>60</v>
      </c>
      <c r="E4" s="18" t="s">
        <v>34</v>
      </c>
      <c r="F4" s="18" t="s">
        <v>37</v>
      </c>
      <c r="G4" s="18" t="s">
        <v>61</v>
      </c>
      <c r="H4" s="18" t="s">
        <v>62</v>
      </c>
      <c r="I4" s="18" t="s">
        <v>35</v>
      </c>
      <c r="J4" s="18" t="s">
        <v>38</v>
      </c>
      <c r="K4" s="18" t="s">
        <v>63</v>
      </c>
      <c r="L4" s="18" t="s">
        <v>39</v>
      </c>
      <c r="M4" s="18" t="s">
        <v>64</v>
      </c>
      <c r="N4" s="18" t="s">
        <v>41</v>
      </c>
      <c r="O4" s="18" t="s">
        <v>7</v>
      </c>
      <c r="P4" s="18" t="s">
        <v>8</v>
      </c>
    </row>
    <row r="5" customFormat="false" ht="15" hidden="false" customHeight="false" outlineLevel="0" collapsed="false">
      <c r="A5" s="35" t="n">
        <v>2026</v>
      </c>
      <c r="B5" s="33" t="n">
        <f aca="false">SUMIFS('Daily Summary'!$B$5:$B$404,'Daily Summary'!$A$5:$A$404,"&gt;="&amp;$A5,'Daily Summary'!$A$5:$A$404,"&lt;"&amp;DATE($A5+1,1,1))</f>
        <v>2612821</v>
      </c>
      <c r="C5" s="33" t="n">
        <f aca="false">SUMIFS('Daily Summary'!$E$5:$E$404,'Daily Summary'!$A$5:$A$404,"&gt;="&amp;$A5,'Daily Summary'!$A$5:$A$404,"&lt;"&amp;DATE($A5+1,1,1))</f>
        <v>403231367.88</v>
      </c>
      <c r="D5" s="9" t="n">
        <f aca="false">IF($B5=0,"",$C5/$B5)</f>
        <v>154.327972670152</v>
      </c>
      <c r="E5" s="33" t="n">
        <f aca="false">SUMIFS('Daily Summary'!$C$5:$C$404,'Daily Summary'!$A$5:$A$404,"&gt;="&amp;$A5,'Daily Summary'!$A$5:$A$404,"&lt;"&amp;DATE($A5+1,1,1))</f>
        <v>2612821</v>
      </c>
      <c r="F5" s="6" t="n">
        <f aca="false">SUMIFS('Daily Summary'!$F$5:$F$404,'Daily Summary'!$A$5:$A$404,"&gt;="&amp;$A5,'Daily Summary'!$A$5:$A$404,"&lt;"&amp;DATE($A5+1,1,1))</f>
        <v>403570742.02</v>
      </c>
      <c r="G5" s="9" t="n">
        <f aca="false">IF($E5=0,"",$F5/$E5)</f>
        <v>154.457860687739</v>
      </c>
      <c r="H5" s="9" t="n">
        <f aca="false">IF(OR($B5=0,$E5=0),"N/A",$G5-$D5)</f>
        <v>0.12988801758712</v>
      </c>
      <c r="I5" s="33" t="n">
        <f aca="false">$B5-$E5</f>
        <v>0</v>
      </c>
      <c r="J5" s="9" t="n">
        <f aca="false">SUMIFS('Daily Summary'!$G$5:$G$404,'Daily Summary'!$A$5:$A$404,"&gt;="&amp;$A5,'Daily Summary'!$A$5:$A$404,"&lt;"&amp;DATE($A5+1,1,1))</f>
        <v>339374.139999999</v>
      </c>
      <c r="K5" s="6" t="str">
        <f aca="false">IF($E5=0,"—",IF($G5&gt;=Comm_Slab2_Start,"0.0325% of sell value","0.0175 paisa per share"))</f>
        <v>0.0325% of sell value</v>
      </c>
      <c r="L5" s="9" t="n">
        <f aca="false">SUMIFS('Daily Summary'!$H$5:$H$404,'Daily Summary'!$A$5:$A$404,"&gt;="&amp;$A5,'Daily Summary'!$A$5:$A$404,"&lt;"&amp;DATE($A5+1,1,1))</f>
        <v>129301.3531565</v>
      </c>
      <c r="M5" s="9" t="n">
        <f aca="false">SUMIFS('Daily Summary'!$I$5:$I$404,'Daily Summary'!$A$5:$A$404,"&gt;="&amp;$A5,'Daily Summary'!$A$5:$A$404,"&lt;"&amp;DATE($A5+1,1,1))</f>
        <v>16809.175910345</v>
      </c>
      <c r="N5" s="9" t="n">
        <f aca="false">$L5+$M5</f>
        <v>146110.529066845</v>
      </c>
      <c r="O5" s="9" t="n">
        <f aca="false">SUMIFS('Daily Summary'!$K$5:$K$404,'Daily Summary'!$A$5:$A$404,"&gt;="&amp;$A5,'Daily Summary'!$A$5:$A$404,"&lt;"&amp;DATE($A5+1,1,1))</f>
        <v>193263.610933154</v>
      </c>
      <c r="P5" s="10" t="n">
        <f aca="false">IF($C5=0,"N/A",$O5/$C5)</f>
        <v>0.000479287144621816</v>
      </c>
    </row>
    <row r="6" customFormat="false" ht="15" hidden="false" customHeight="false" outlineLevel="0" collapsed="false">
      <c r="A6" s="34" t="s">
        <v>42</v>
      </c>
      <c r="B6" s="24" t="n">
        <f aca="false">SUM(B5)</f>
        <v>2612821</v>
      </c>
      <c r="C6" s="24" t="n">
        <f aca="false">SUM(C5)</f>
        <v>403231367.88</v>
      </c>
      <c r="D6" s="25" t="n">
        <f aca="false">IF($B6=0,"",$C6/$B6)</f>
        <v>154.327972670152</v>
      </c>
      <c r="E6" s="24" t="n">
        <f aca="false">SUM(E5)</f>
        <v>2612821</v>
      </c>
      <c r="F6" s="34" t="n">
        <f aca="false">SUM(F5)</f>
        <v>403570742.02</v>
      </c>
      <c r="G6" s="25" t="n">
        <f aca="false">IF($E6=0,"",$F6/$E6)</f>
        <v>154.457860687739</v>
      </c>
      <c r="H6" s="25" t="n">
        <f aca="false">IF(OR($B6=0,$E6=0),"N/A",$G6-$D6)</f>
        <v>0.12988801758712</v>
      </c>
      <c r="I6" s="24" t="n">
        <f aca="false">$B6-$E6</f>
        <v>0</v>
      </c>
      <c r="J6" s="25" t="n">
        <f aca="false">SUM(J5)</f>
        <v>339374.139999999</v>
      </c>
      <c r="K6" s="34"/>
      <c r="L6" s="25" t="n">
        <f aca="false">SUM(L5)</f>
        <v>129301.3531565</v>
      </c>
      <c r="M6" s="25" t="n">
        <f aca="false">SUM(M5)</f>
        <v>16809.175910345</v>
      </c>
      <c r="N6" s="25" t="n">
        <f aca="false">$L6+$M6</f>
        <v>146110.529066845</v>
      </c>
      <c r="O6" s="25" t="n">
        <f aca="false">SUM(O5)</f>
        <v>193263.610933154</v>
      </c>
      <c r="P6" s="26" t="n">
        <f aca="false">IF($C6=0,"N/A",$O6/$C6)</f>
        <v>0.000479287144621816</v>
      </c>
    </row>
    <row r="8" customFormat="false" ht="15" hidden="false" customHeight="false" outlineLevel="0" collapsed="false">
      <c r="A8" s="2" t="s">
        <v>65</v>
      </c>
    </row>
  </sheetData>
  <autoFilter ref="A4:P5"/>
  <conditionalFormatting sqref="J5:J6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N5:O6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P5:P6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5" min="4" style="0" width="16"/>
    <col collapsed="false" customWidth="true" hidden="false" outlineLevel="0" max="7" min="6" style="0" width="14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1"/>
  </cols>
  <sheetData>
    <row r="1" customFormat="false" ht="19.7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30" hidden="false" customHeight="true" outlineLevel="0" collapsed="false">
      <c r="A4" s="18" t="s">
        <v>71</v>
      </c>
      <c r="B4" s="18" t="s">
        <v>33</v>
      </c>
      <c r="C4" s="18" t="s">
        <v>34</v>
      </c>
      <c r="D4" s="18" t="s">
        <v>36</v>
      </c>
      <c r="E4" s="18" t="s">
        <v>37</v>
      </c>
      <c r="F4" s="18" t="s">
        <v>38</v>
      </c>
      <c r="G4" s="18" t="s">
        <v>39</v>
      </c>
      <c r="H4" s="18" t="s">
        <v>40</v>
      </c>
      <c r="I4" s="18" t="s">
        <v>7</v>
      </c>
      <c r="J4" s="18" t="s">
        <v>8</v>
      </c>
    </row>
    <row r="5" customFormat="false" ht="15" hidden="false" customHeight="false" outlineLevel="0" collapsed="false">
      <c r="A5" s="36" t="s">
        <v>72</v>
      </c>
      <c r="B5" s="37" t="n">
        <f aca="false">SUMIF('Daily Trade Summary'!$A:$A,$A5,'Daily Trade Summary'!$B:$B)</f>
        <v>212500</v>
      </c>
      <c r="C5" s="37" t="n">
        <f aca="false">SUMIF('Daily Trade Summary'!$A:$A,$A5,'Daily Trade Summary'!$E:$E)</f>
        <v>212500</v>
      </c>
      <c r="D5" s="38" t="n">
        <f aca="false">SUMIF('Daily Trade Summary'!$A:$A,$A5,'Daily Trade Summary'!$C:$C)</f>
        <v>17760910</v>
      </c>
      <c r="E5" s="38" t="n">
        <f aca="false">SUMIF('Daily Trade Summary'!$A:$A,$A5,'Daily Trade Summary'!$F:$F)</f>
        <v>17805100</v>
      </c>
      <c r="F5" s="38" t="n">
        <f aca="false">$E5-$D5</f>
        <v>44190</v>
      </c>
      <c r="G5" s="38" t="n">
        <f aca="false">SUMIF('Daily Trade Summary'!$A:$A,$A5,'Daily Trade Summary'!$L:$L)</f>
        <v>5786.6575</v>
      </c>
      <c r="H5" s="38" t="n">
        <f aca="false">$G5*SST_Rate</f>
        <v>752.265475</v>
      </c>
      <c r="I5" s="38" t="n">
        <f aca="false">$F5-$G5-$H5</f>
        <v>37651.077025</v>
      </c>
      <c r="J5" s="39" t="n">
        <f aca="false">IF($D5=0,"N/A",$I5/$D5)</f>
        <v>0.00211988445552621</v>
      </c>
      <c r="K5" s="40" t="s">
        <v>73</v>
      </c>
    </row>
    <row r="6" customFormat="false" ht="15" hidden="false" customHeight="false" outlineLevel="0" collapsed="false">
      <c r="A6" s="0" t="s">
        <v>74</v>
      </c>
      <c r="B6" s="20" t="n">
        <f aca="false">SUMIF('Daily Trade Summary'!$A:$A,$A6,'Daily Trade Summary'!$B:$B)</f>
        <v>494000</v>
      </c>
      <c r="C6" s="20" t="n">
        <f aca="false">SUMIF('Daily Trade Summary'!$A:$A,$A6,'Daily Trade Summary'!$E:$E)</f>
        <v>494000</v>
      </c>
      <c r="D6" s="21" t="n">
        <f aca="false">SUMIF('Daily Trade Summary'!$A:$A,$A6,'Daily Trade Summary'!$C:$C)</f>
        <v>47581770</v>
      </c>
      <c r="E6" s="21" t="n">
        <f aca="false">SUMIF('Daily Trade Summary'!$A:$A,$A6,'Daily Trade Summary'!$F:$F)</f>
        <v>47630070</v>
      </c>
      <c r="F6" s="21" t="n">
        <f aca="false">$E6-$D6</f>
        <v>48300</v>
      </c>
      <c r="G6" s="21" t="n">
        <f aca="false">SUMIF('Daily Trade Summary'!$A:$A,$A6,'Daily Trade Summary'!$L:$L)</f>
        <v>15479.77275</v>
      </c>
      <c r="H6" s="21" t="n">
        <f aca="false">$G6*SST_Rate</f>
        <v>2012.3704575</v>
      </c>
      <c r="I6" s="21" t="n">
        <f aca="false">$F6-$G6-$H6</f>
        <v>30807.8567925</v>
      </c>
      <c r="J6" s="22" t="n">
        <f aca="false">IF($D6=0,"N/A",$I6/$D6)</f>
        <v>0.00064747185303321</v>
      </c>
    </row>
    <row r="7" customFormat="false" ht="15" hidden="false" customHeight="false" outlineLevel="0" collapsed="false">
      <c r="A7" s="0" t="s">
        <v>75</v>
      </c>
      <c r="B7" s="20" t="n">
        <f aca="false">SUMIF('Daily Trade Summary'!$A:$A,$A7,'Daily Trade Summary'!$B:$B)</f>
        <v>187050</v>
      </c>
      <c r="C7" s="20" t="n">
        <f aca="false">SUMIF('Daily Trade Summary'!$A:$A,$A7,'Daily Trade Summary'!$E:$E)</f>
        <v>187050</v>
      </c>
      <c r="D7" s="21" t="n">
        <f aca="false">SUMIF('Daily Trade Summary'!$A:$A,$A7,'Daily Trade Summary'!$C:$C)</f>
        <v>17706340.89</v>
      </c>
      <c r="E7" s="21" t="n">
        <f aca="false">SUMIF('Daily Trade Summary'!$A:$A,$A7,'Daily Trade Summary'!$F:$F)</f>
        <v>17737429.87</v>
      </c>
      <c r="F7" s="21" t="n">
        <f aca="false">$E7-$D7</f>
        <v>31088.9800000004</v>
      </c>
      <c r="G7" s="21" t="n">
        <f aca="false">SUMIF('Daily Trade Summary'!$A:$A,$A7,'Daily Trade Summary'!$L:$L)</f>
        <v>5764.66470775</v>
      </c>
      <c r="H7" s="21" t="n">
        <f aca="false">$G7*SST_Rate</f>
        <v>749.4064120075</v>
      </c>
      <c r="I7" s="21" t="n">
        <f aca="false">$F7-$G7-$H7</f>
        <v>24574.9088802429</v>
      </c>
      <c r="J7" s="22" t="n">
        <f aca="false">IF($D7=0,"N/A",$I7/$D7)</f>
        <v>0.00138791572086597</v>
      </c>
    </row>
    <row r="8" customFormat="false" ht="15" hidden="false" customHeight="false" outlineLevel="0" collapsed="false">
      <c r="A8" s="0" t="s">
        <v>76</v>
      </c>
      <c r="B8" s="20" t="n">
        <f aca="false">SUMIF('Daily Trade Summary'!$A:$A,$A8,'Daily Trade Summary'!$B:$B)</f>
        <v>31000</v>
      </c>
      <c r="C8" s="20" t="n">
        <f aca="false">SUMIF('Daily Trade Summary'!$A:$A,$A8,'Daily Trade Summary'!$E:$E)</f>
        <v>31000</v>
      </c>
      <c r="D8" s="21" t="n">
        <f aca="false">SUMIF('Daily Trade Summary'!$A:$A,$A8,'Daily Trade Summary'!$C:$C)</f>
        <v>16071720</v>
      </c>
      <c r="E8" s="21" t="n">
        <f aca="false">SUMIF('Daily Trade Summary'!$A:$A,$A8,'Daily Trade Summary'!$F:$F)</f>
        <v>16091315</v>
      </c>
      <c r="F8" s="21" t="n">
        <f aca="false">$E8-$D8</f>
        <v>19595</v>
      </c>
      <c r="G8" s="21" t="n">
        <f aca="false">SUMIF('Daily Trade Summary'!$A:$A,$A8,'Daily Trade Summary'!$L:$L)</f>
        <v>5229.677375</v>
      </c>
      <c r="H8" s="21" t="n">
        <f aca="false">$G8*SST_Rate</f>
        <v>679.85805875</v>
      </c>
      <c r="I8" s="21" t="n">
        <f aca="false">$F8-$G8-$H8</f>
        <v>13685.46456625</v>
      </c>
      <c r="J8" s="22" t="n">
        <f aca="false">IF($D8=0,"N/A",$I8/$D8)</f>
        <v>0.000851524576476569</v>
      </c>
    </row>
    <row r="9" customFormat="false" ht="15" hidden="false" customHeight="false" outlineLevel="0" collapsed="false">
      <c r="A9" s="0" t="s">
        <v>77</v>
      </c>
      <c r="B9" s="20" t="n">
        <f aca="false">SUMIF('Daily Trade Summary'!$A:$A,$A9,'Daily Trade Summary'!$B:$B)</f>
        <v>37000</v>
      </c>
      <c r="C9" s="20" t="n">
        <f aca="false">SUMIF('Daily Trade Summary'!$A:$A,$A9,'Daily Trade Summary'!$E:$E)</f>
        <v>37000</v>
      </c>
      <c r="D9" s="21" t="n">
        <f aca="false">SUMIF('Daily Trade Summary'!$A:$A,$A9,'Daily Trade Summary'!$C:$C)</f>
        <v>8881420</v>
      </c>
      <c r="E9" s="21" t="n">
        <f aca="false">SUMIF('Daily Trade Summary'!$A:$A,$A9,'Daily Trade Summary'!$F:$F)</f>
        <v>8898330</v>
      </c>
      <c r="F9" s="21" t="n">
        <f aca="false">$E9-$D9</f>
        <v>16910</v>
      </c>
      <c r="G9" s="21" t="n">
        <f aca="false">SUMIF('Daily Trade Summary'!$A:$A,$A9,'Daily Trade Summary'!$L:$L)</f>
        <v>2891.95725</v>
      </c>
      <c r="H9" s="21" t="n">
        <f aca="false">$G9*SST_Rate</f>
        <v>375.9544425</v>
      </c>
      <c r="I9" s="21" t="n">
        <f aca="false">$F9-$G9-$H9</f>
        <v>13642.0883075</v>
      </c>
      <c r="J9" s="22" t="n">
        <f aca="false">IF($D9=0,"N/A",$I9/$D9)</f>
        <v>0.00153602558008742</v>
      </c>
    </row>
    <row r="10" customFormat="false" ht="15" hidden="false" customHeight="false" outlineLevel="0" collapsed="false">
      <c r="A10" s="0" t="s">
        <v>78</v>
      </c>
      <c r="B10" s="20" t="n">
        <f aca="false">SUMIF('Daily Trade Summary'!$A:$A,$A10,'Daily Trade Summary'!$B:$B)</f>
        <v>88500</v>
      </c>
      <c r="C10" s="20" t="n">
        <f aca="false">SUMIF('Daily Trade Summary'!$A:$A,$A10,'Daily Trade Summary'!$E:$E)</f>
        <v>88500</v>
      </c>
      <c r="D10" s="21" t="n">
        <f aca="false">SUMIF('Daily Trade Summary'!$A:$A,$A10,'Daily Trade Summary'!$C:$C)</f>
        <v>46865190</v>
      </c>
      <c r="E10" s="21" t="n">
        <f aca="false">SUMIF('Daily Trade Summary'!$A:$A,$A10,'Daily Trade Summary'!$F:$F)</f>
        <v>46895670</v>
      </c>
      <c r="F10" s="21" t="n">
        <f aca="false">$E10-$D10</f>
        <v>30480</v>
      </c>
      <c r="G10" s="21" t="n">
        <f aca="false">SUMIF('Daily Trade Summary'!$A:$A,$A10,'Daily Trade Summary'!$L:$L)</f>
        <v>15241.09275</v>
      </c>
      <c r="H10" s="21" t="n">
        <f aca="false">$G10*SST_Rate</f>
        <v>1981.3420575</v>
      </c>
      <c r="I10" s="21" t="n">
        <f aca="false">$F10-$G10-$H10</f>
        <v>13257.5651925</v>
      </c>
      <c r="J10" s="22" t="n">
        <f aca="false">IF($D10=0,"N/A",$I10/$D10)</f>
        <v>0.000282887260085791</v>
      </c>
    </row>
    <row r="11" customFormat="false" ht="15" hidden="false" customHeight="false" outlineLevel="0" collapsed="false">
      <c r="A11" s="0" t="s">
        <v>79</v>
      </c>
      <c r="B11" s="20" t="n">
        <f aca="false">SUMIF('Daily Trade Summary'!$A:$A,$A11,'Daily Trade Summary'!$B:$B)</f>
        <v>658500</v>
      </c>
      <c r="C11" s="20" t="n">
        <f aca="false">SUMIF('Daily Trade Summary'!$A:$A,$A11,'Daily Trade Summary'!$E:$E)</f>
        <v>658500</v>
      </c>
      <c r="D11" s="21" t="n">
        <f aca="false">SUMIF('Daily Trade Summary'!$A:$A,$A11,'Daily Trade Summary'!$C:$C)</f>
        <v>62249075</v>
      </c>
      <c r="E11" s="21" t="n">
        <f aca="false">SUMIF('Daily Trade Summary'!$A:$A,$A11,'Daily Trade Summary'!$F:$F)</f>
        <v>62282360</v>
      </c>
      <c r="F11" s="21" t="n">
        <f aca="false">$E11-$D11</f>
        <v>33285</v>
      </c>
      <c r="G11" s="21" t="n">
        <f aca="false">SUMIF('Daily Trade Summary'!$A:$A,$A11,'Daily Trade Summary'!$L:$L)</f>
        <v>20241.767</v>
      </c>
      <c r="H11" s="21" t="n">
        <f aca="false">$G11*SST_Rate</f>
        <v>2631.42971</v>
      </c>
      <c r="I11" s="21" t="n">
        <f aca="false">$F11-$G11-$H11</f>
        <v>10411.80329</v>
      </c>
      <c r="J11" s="22" t="n">
        <f aca="false">IF($D11=0,"N/A",$I11/$D11)</f>
        <v>0.000167260369571757</v>
      </c>
    </row>
    <row r="12" customFormat="false" ht="15" hidden="false" customHeight="false" outlineLevel="0" collapsed="false">
      <c r="A12" s="0" t="s">
        <v>80</v>
      </c>
      <c r="B12" s="20" t="n">
        <f aca="false">SUMIF('Daily Trade Summary'!$A:$A,$A12,'Daily Trade Summary'!$B:$B)</f>
        <v>56500</v>
      </c>
      <c r="C12" s="20" t="n">
        <f aca="false">SUMIF('Daily Trade Summary'!$A:$A,$A12,'Daily Trade Summary'!$E:$E)</f>
        <v>56500</v>
      </c>
      <c r="D12" s="21" t="n">
        <f aca="false">SUMIF('Daily Trade Summary'!$A:$A,$A12,'Daily Trade Summary'!$C:$C)</f>
        <v>34719095</v>
      </c>
      <c r="E12" s="21" t="n">
        <f aca="false">SUMIF('Daily Trade Summary'!$A:$A,$A12,'Daily Trade Summary'!$F:$F)</f>
        <v>34741665</v>
      </c>
      <c r="F12" s="21" t="n">
        <f aca="false">$E12-$D12</f>
        <v>22570</v>
      </c>
      <c r="G12" s="21" t="n">
        <f aca="false">SUMIF('Daily Trade Summary'!$A:$A,$A12,'Daily Trade Summary'!$L:$L)</f>
        <v>11291.041125</v>
      </c>
      <c r="H12" s="21" t="n">
        <f aca="false">$G12*SST_Rate</f>
        <v>1467.83534625</v>
      </c>
      <c r="I12" s="21" t="n">
        <f aca="false">$F12-$G12-$H12</f>
        <v>9811.12352875</v>
      </c>
      <c r="J12" s="22" t="n">
        <f aca="false">IF($D12=0,"N/A",$I12/$D12)</f>
        <v>0.000282585808436251</v>
      </c>
    </row>
    <row r="13" customFormat="false" ht="15" hidden="false" customHeight="false" outlineLevel="0" collapsed="false">
      <c r="A13" s="0" t="s">
        <v>81</v>
      </c>
      <c r="B13" s="20" t="n">
        <f aca="false">SUMIF('Daily Trade Summary'!$A:$A,$A13,'Daily Trade Summary'!$B:$B)</f>
        <v>30000</v>
      </c>
      <c r="C13" s="20" t="n">
        <f aca="false">SUMIF('Daily Trade Summary'!$A:$A,$A13,'Daily Trade Summary'!$E:$E)</f>
        <v>30000</v>
      </c>
      <c r="D13" s="21" t="n">
        <f aca="false">SUMIF('Daily Trade Summary'!$A:$A,$A13,'Daily Trade Summary'!$C:$C)</f>
        <v>1581000</v>
      </c>
      <c r="E13" s="21" t="n">
        <f aca="false">SUMIF('Daily Trade Summary'!$A:$A,$A13,'Daily Trade Summary'!$F:$F)</f>
        <v>1585695</v>
      </c>
      <c r="F13" s="21" t="n">
        <f aca="false">$E13-$D13</f>
        <v>4695</v>
      </c>
      <c r="G13" s="21" t="n">
        <f aca="false">SUMIF('Daily Trade Summary'!$A:$A,$A13,'Daily Trade Summary'!$L:$L)</f>
        <v>179.65</v>
      </c>
      <c r="H13" s="21" t="n">
        <f aca="false">$G13*SST_Rate</f>
        <v>23.3545</v>
      </c>
      <c r="I13" s="21" t="n">
        <f aca="false">$F13-$G13-$H13</f>
        <v>4491.9955</v>
      </c>
      <c r="J13" s="22" t="n">
        <f aca="false">IF($D13=0,"N/A",$I13/$D13)</f>
        <v>0.00284123687539532</v>
      </c>
    </row>
    <row r="14" customFormat="false" ht="15" hidden="false" customHeight="false" outlineLevel="0" collapsed="false">
      <c r="A14" s="0" t="s">
        <v>82</v>
      </c>
      <c r="B14" s="20" t="n">
        <f aca="false">SUMIF('Daily Trade Summary'!$A:$A,$A14,'Daily Trade Summary'!$B:$B)</f>
        <v>50000</v>
      </c>
      <c r="C14" s="20" t="n">
        <f aca="false">SUMIF('Daily Trade Summary'!$A:$A,$A14,'Daily Trade Summary'!$E:$E)</f>
        <v>50000</v>
      </c>
      <c r="D14" s="21" t="n">
        <f aca="false">SUMIF('Daily Trade Summary'!$A:$A,$A14,'Daily Trade Summary'!$C:$C)</f>
        <v>2751570</v>
      </c>
      <c r="E14" s="21" t="n">
        <f aca="false">SUMIF('Daily Trade Summary'!$A:$A,$A14,'Daily Trade Summary'!$F:$F)</f>
        <v>2756225</v>
      </c>
      <c r="F14" s="21" t="n">
        <f aca="false">$E14-$D14</f>
        <v>4655</v>
      </c>
      <c r="G14" s="21" t="n">
        <f aca="false">SUMIF('Daily Trade Summary'!$A:$A,$A14,'Daily Trade Summary'!$L:$L)</f>
        <v>207.85</v>
      </c>
      <c r="H14" s="21" t="n">
        <f aca="false">$G14*SST_Rate</f>
        <v>27.0205</v>
      </c>
      <c r="I14" s="21" t="n">
        <f aca="false">$F14-$G14-$H14</f>
        <v>4420.1295</v>
      </c>
      <c r="J14" s="22" t="n">
        <f aca="false">IF($D14=0,"N/A",$I14/$D14)</f>
        <v>0.001606402708272</v>
      </c>
    </row>
    <row r="15" customFormat="false" ht="15" hidden="false" customHeight="false" outlineLevel="0" collapsed="false">
      <c r="A15" s="0" t="s">
        <v>83</v>
      </c>
      <c r="B15" s="20" t="n">
        <f aca="false">SUMIF('Daily Trade Summary'!$A:$A,$A15,'Daily Trade Summary'!$B:$B)</f>
        <v>5000</v>
      </c>
      <c r="C15" s="20" t="n">
        <f aca="false">SUMIF('Daily Trade Summary'!$A:$A,$A15,'Daily Trade Summary'!$E:$E)</f>
        <v>5000</v>
      </c>
      <c r="D15" s="21" t="n">
        <f aca="false">SUMIF('Daily Trade Summary'!$A:$A,$A15,'Daily Trade Summary'!$C:$C)</f>
        <v>1065500</v>
      </c>
      <c r="E15" s="21" t="n">
        <f aca="false">SUMIF('Daily Trade Summary'!$A:$A,$A15,'Daily Trade Summary'!$F:$F)</f>
        <v>1070000</v>
      </c>
      <c r="F15" s="21" t="n">
        <f aca="false">$E15-$D15</f>
        <v>4500</v>
      </c>
      <c r="G15" s="21" t="n">
        <f aca="false">SUMIF('Daily Trade Summary'!$A:$A,$A15,'Daily Trade Summary'!$L:$L)</f>
        <v>347.75</v>
      </c>
      <c r="H15" s="21" t="n">
        <f aca="false">$G15*SST_Rate</f>
        <v>45.2075</v>
      </c>
      <c r="I15" s="21" t="n">
        <f aca="false">$F15-$G15-$H15</f>
        <v>4107.0425</v>
      </c>
      <c r="J15" s="22" t="n">
        <f aca="false">IF($D15=0,"N/A",$I15/$D15)</f>
        <v>0.00385456827780385</v>
      </c>
    </row>
    <row r="16" customFormat="false" ht="15" hidden="false" customHeight="false" outlineLevel="0" collapsed="false">
      <c r="A16" s="0" t="s">
        <v>84</v>
      </c>
      <c r="B16" s="20" t="n">
        <f aca="false">SUMIF('Daily Trade Summary'!$A:$A,$A16,'Daily Trade Summary'!$B:$B)</f>
        <v>12500</v>
      </c>
      <c r="C16" s="20" t="n">
        <f aca="false">SUMIF('Daily Trade Summary'!$A:$A,$A16,'Daily Trade Summary'!$E:$E)</f>
        <v>12500</v>
      </c>
      <c r="D16" s="21" t="n">
        <f aca="false">SUMIF('Daily Trade Summary'!$A:$A,$A16,'Daily Trade Summary'!$C:$C)</f>
        <v>4513315</v>
      </c>
      <c r="E16" s="21" t="n">
        <f aca="false">SUMIF('Daily Trade Summary'!$A:$A,$A16,'Daily Trade Summary'!$F:$F)</f>
        <v>4518635</v>
      </c>
      <c r="F16" s="21" t="n">
        <f aca="false">$E16-$D16</f>
        <v>5320</v>
      </c>
      <c r="G16" s="21" t="n">
        <f aca="false">SUMIF('Daily Trade Summary'!$A:$A,$A16,'Daily Trade Summary'!$L:$L)</f>
        <v>1468.556375</v>
      </c>
      <c r="H16" s="21" t="n">
        <f aca="false">$G16*SST_Rate</f>
        <v>190.91232875</v>
      </c>
      <c r="I16" s="21" t="n">
        <f aca="false">$F16-$G16-$H16</f>
        <v>3660.53129625</v>
      </c>
      <c r="J16" s="22" t="n">
        <f aca="false">IF($D16=0,"N/A",$I16/$D16)</f>
        <v>0.000811051587635696</v>
      </c>
    </row>
    <row r="17" customFormat="false" ht="15" hidden="false" customHeight="false" outlineLevel="0" collapsed="false">
      <c r="A17" s="0" t="s">
        <v>85</v>
      </c>
      <c r="B17" s="20" t="n">
        <f aca="false">SUMIF('Daily Trade Summary'!$A:$A,$A17,'Daily Trade Summary'!$B:$B)</f>
        <v>26000</v>
      </c>
      <c r="C17" s="20" t="n">
        <f aca="false">SUMIF('Daily Trade Summary'!$A:$A,$A17,'Daily Trade Summary'!$E:$E)</f>
        <v>26000</v>
      </c>
      <c r="D17" s="21" t="n">
        <f aca="false">SUMIF('Daily Trade Summary'!$A:$A,$A17,'Daily Trade Summary'!$C:$C)</f>
        <v>5123920</v>
      </c>
      <c r="E17" s="21" t="n">
        <f aca="false">SUMIF('Daily Trade Summary'!$A:$A,$A17,'Daily Trade Summary'!$F:$F)</f>
        <v>5129445</v>
      </c>
      <c r="F17" s="21" t="n">
        <f aca="false">$E17-$D17</f>
        <v>5525</v>
      </c>
      <c r="G17" s="21" t="n">
        <f aca="false">SUMIF('Daily Trade Summary'!$A:$A,$A17,'Daily Trade Summary'!$L:$L)</f>
        <v>1667.069625</v>
      </c>
      <c r="H17" s="21" t="n">
        <f aca="false">$G17*SST_Rate</f>
        <v>216.71905125</v>
      </c>
      <c r="I17" s="21" t="n">
        <f aca="false">$F17-$G17-$H17</f>
        <v>3641.21132375</v>
      </c>
      <c r="J17" s="22" t="n">
        <f aca="false">IF($D17=0,"N/A",$I17/$D17)</f>
        <v>0.000710630010568081</v>
      </c>
    </row>
    <row r="18" customFormat="false" ht="15" hidden="false" customHeight="false" outlineLevel="0" collapsed="false">
      <c r="A18" s="0" t="s">
        <v>86</v>
      </c>
      <c r="B18" s="20" t="n">
        <f aca="false">SUMIF('Daily Trade Summary'!$A:$A,$A18,'Daily Trade Summary'!$B:$B)</f>
        <v>3000</v>
      </c>
      <c r="C18" s="20" t="n">
        <f aca="false">SUMIF('Daily Trade Summary'!$A:$A,$A18,'Daily Trade Summary'!$E:$E)</f>
        <v>3000</v>
      </c>
      <c r="D18" s="21" t="n">
        <f aca="false">SUMIF('Daily Trade Summary'!$A:$A,$A18,'Daily Trade Summary'!$C:$C)</f>
        <v>3560880</v>
      </c>
      <c r="E18" s="21" t="n">
        <f aca="false">SUMIF('Daily Trade Summary'!$A:$A,$A18,'Daily Trade Summary'!$F:$F)</f>
        <v>3565465</v>
      </c>
      <c r="F18" s="21" t="n">
        <f aca="false">$E18-$D18</f>
        <v>4585</v>
      </c>
      <c r="G18" s="21" t="n">
        <f aca="false">SUMIF('Daily Trade Summary'!$A:$A,$A18,'Daily Trade Summary'!$L:$L)</f>
        <v>1158.776125</v>
      </c>
      <c r="H18" s="21" t="n">
        <f aca="false">$G18*SST_Rate</f>
        <v>150.64089625</v>
      </c>
      <c r="I18" s="21" t="n">
        <f aca="false">$F18-$G18-$H18</f>
        <v>3275.58297875</v>
      </c>
      <c r="J18" s="22" t="n">
        <f aca="false">IF($D18=0,"N/A",$I18/$D18)</f>
        <v>0.00091988019218564</v>
      </c>
    </row>
    <row r="19" customFormat="false" ht="15" hidden="false" customHeight="false" outlineLevel="0" collapsed="false">
      <c r="A19" s="0" t="s">
        <v>87</v>
      </c>
      <c r="B19" s="20" t="n">
        <f aca="false">SUMIF('Daily Trade Summary'!$A:$A,$A19,'Daily Trade Summary'!$B:$B)</f>
        <v>49500</v>
      </c>
      <c r="C19" s="20" t="n">
        <f aca="false">SUMIF('Daily Trade Summary'!$A:$A,$A19,'Daily Trade Summary'!$E:$E)</f>
        <v>49500</v>
      </c>
      <c r="D19" s="21" t="n">
        <f aca="false">SUMIF('Daily Trade Summary'!$A:$A,$A19,'Daily Trade Summary'!$C:$C)</f>
        <v>11280705</v>
      </c>
      <c r="E19" s="21" t="n">
        <f aca="false">SUMIF('Daily Trade Summary'!$A:$A,$A19,'Daily Trade Summary'!$F:$F)</f>
        <v>11287880</v>
      </c>
      <c r="F19" s="21" t="n">
        <f aca="false">$E19-$D19</f>
        <v>7175</v>
      </c>
      <c r="G19" s="21" t="n">
        <f aca="false">SUMIF('Daily Trade Summary'!$A:$A,$A19,'Daily Trade Summary'!$L:$L)</f>
        <v>3668.561</v>
      </c>
      <c r="H19" s="21" t="n">
        <f aca="false">$G19*SST_Rate</f>
        <v>476.91293</v>
      </c>
      <c r="I19" s="21" t="n">
        <f aca="false">$F19-$G19-$H19</f>
        <v>3029.52607</v>
      </c>
      <c r="J19" s="22" t="n">
        <f aca="false">IF($D19=0,"N/A",$I19/$D19)</f>
        <v>0.000268558221316841</v>
      </c>
    </row>
    <row r="20" customFormat="false" ht="15" hidden="false" customHeight="false" outlineLevel="0" collapsed="false">
      <c r="A20" s="0" t="s">
        <v>88</v>
      </c>
      <c r="B20" s="20" t="n">
        <f aca="false">SUMIF('Daily Trade Summary'!$A:$A,$A20,'Daily Trade Summary'!$B:$B)</f>
        <v>4500</v>
      </c>
      <c r="C20" s="20" t="n">
        <f aca="false">SUMIF('Daily Trade Summary'!$A:$A,$A20,'Daily Trade Summary'!$E:$E)</f>
        <v>4500</v>
      </c>
      <c r="D20" s="21" t="n">
        <f aca="false">SUMIF('Daily Trade Summary'!$A:$A,$A20,'Daily Trade Summary'!$C:$C)</f>
        <v>1569730</v>
      </c>
      <c r="E20" s="21" t="n">
        <f aca="false">SUMIF('Daily Trade Summary'!$A:$A,$A20,'Daily Trade Summary'!$F:$F)</f>
        <v>1572910</v>
      </c>
      <c r="F20" s="21" t="n">
        <f aca="false">$E20-$D20</f>
        <v>3180</v>
      </c>
      <c r="G20" s="21" t="n">
        <f aca="false">SUMIF('Daily Trade Summary'!$A:$A,$A20,'Daily Trade Summary'!$L:$L)</f>
        <v>511.19575</v>
      </c>
      <c r="H20" s="21" t="n">
        <f aca="false">$G20*SST_Rate</f>
        <v>66.4554475</v>
      </c>
      <c r="I20" s="21" t="n">
        <f aca="false">$F20-$G20-$H20</f>
        <v>2602.3488025</v>
      </c>
      <c r="J20" s="22" t="n">
        <f aca="false">IF($D20=0,"N/A",$I20/$D20)</f>
        <v>0.00165783211284743</v>
      </c>
    </row>
    <row r="21" customFormat="false" ht="15" hidden="false" customHeight="false" outlineLevel="0" collapsed="false">
      <c r="A21" s="0" t="s">
        <v>89</v>
      </c>
      <c r="B21" s="20" t="n">
        <f aca="false">SUMIF('Daily Trade Summary'!$A:$A,$A21,'Daily Trade Summary'!$B:$B)</f>
        <v>23000</v>
      </c>
      <c r="C21" s="20" t="n">
        <f aca="false">SUMIF('Daily Trade Summary'!$A:$A,$A21,'Daily Trade Summary'!$E:$E)</f>
        <v>23000</v>
      </c>
      <c r="D21" s="21" t="n">
        <f aca="false">SUMIF('Daily Trade Summary'!$A:$A,$A21,'Daily Trade Summary'!$C:$C)</f>
        <v>4954505</v>
      </c>
      <c r="E21" s="21" t="n">
        <f aca="false">SUMIF('Daily Trade Summary'!$A:$A,$A21,'Daily Trade Summary'!$F:$F)</f>
        <v>4958700</v>
      </c>
      <c r="F21" s="21" t="n">
        <f aca="false">$E21-$D21</f>
        <v>4195</v>
      </c>
      <c r="G21" s="21" t="n">
        <f aca="false">SUMIF('Daily Trade Summary'!$A:$A,$A21,'Daily Trade Summary'!$L:$L)</f>
        <v>1611.5775</v>
      </c>
      <c r="H21" s="21" t="n">
        <f aca="false">$G21*SST_Rate</f>
        <v>209.505075</v>
      </c>
      <c r="I21" s="21" t="n">
        <f aca="false">$F21-$G21-$H21</f>
        <v>2373.917425</v>
      </c>
      <c r="J21" s="22" t="n">
        <f aca="false">IF($D21=0,"N/A",$I21/$D21)</f>
        <v>0.00047914320905923</v>
      </c>
    </row>
    <row r="22" customFormat="false" ht="15" hidden="false" customHeight="false" outlineLevel="0" collapsed="false">
      <c r="A22" s="0" t="s">
        <v>90</v>
      </c>
      <c r="B22" s="20" t="n">
        <f aca="false">SUMIF('Daily Trade Summary'!$A:$A,$A22,'Daily Trade Summary'!$B:$B)</f>
        <v>5000</v>
      </c>
      <c r="C22" s="20" t="n">
        <f aca="false">SUMIF('Daily Trade Summary'!$A:$A,$A22,'Daily Trade Summary'!$E:$E)</f>
        <v>5000</v>
      </c>
      <c r="D22" s="21" t="n">
        <f aca="false">SUMIF('Daily Trade Summary'!$A:$A,$A22,'Daily Trade Summary'!$C:$C)</f>
        <v>313050</v>
      </c>
      <c r="E22" s="21" t="n">
        <f aca="false">SUMIF('Daily Trade Summary'!$A:$A,$A22,'Daily Trade Summary'!$F:$F)</f>
        <v>315500</v>
      </c>
      <c r="F22" s="21" t="n">
        <f aca="false">$E22-$D22</f>
        <v>2450</v>
      </c>
      <c r="G22" s="21" t="n">
        <f aca="false">SUMIF('Daily Trade Summary'!$A:$A,$A22,'Daily Trade Summary'!$L:$L)</f>
        <v>102.5375</v>
      </c>
      <c r="H22" s="21" t="n">
        <f aca="false">$G22*SST_Rate</f>
        <v>13.329875</v>
      </c>
      <c r="I22" s="21" t="n">
        <f aca="false">$F22-$G22-$H22</f>
        <v>2334.132625</v>
      </c>
      <c r="J22" s="22" t="n">
        <f aca="false">IF($D22=0,"N/A",$I22/$D22)</f>
        <v>0.00745610166107651</v>
      </c>
    </row>
    <row r="23" customFormat="false" ht="15" hidden="false" customHeight="false" outlineLevel="0" collapsed="false">
      <c r="A23" s="0" t="s">
        <v>91</v>
      </c>
      <c r="B23" s="20" t="n">
        <f aca="false">SUMIF('Daily Trade Summary'!$A:$A,$A23,'Daily Trade Summary'!$B:$B)</f>
        <v>20000</v>
      </c>
      <c r="C23" s="20" t="n">
        <f aca="false">SUMIF('Daily Trade Summary'!$A:$A,$A23,'Daily Trade Summary'!$E:$E)</f>
        <v>20000</v>
      </c>
      <c r="D23" s="21" t="n">
        <f aca="false">SUMIF('Daily Trade Summary'!$A:$A,$A23,'Daily Trade Summary'!$C:$C)</f>
        <v>166455</v>
      </c>
      <c r="E23" s="21" t="n">
        <f aca="false">SUMIF('Daily Trade Summary'!$A:$A,$A23,'Daily Trade Summary'!$F:$F)</f>
        <v>168700</v>
      </c>
      <c r="F23" s="21" t="n">
        <f aca="false">$E23-$D23</f>
        <v>2245</v>
      </c>
      <c r="G23" s="21" t="n">
        <f aca="false">SUMIF('Daily Trade Summary'!$A:$A,$A23,'Daily Trade Summary'!$L:$L)</f>
        <v>3.5</v>
      </c>
      <c r="H23" s="21" t="n">
        <f aca="false">$G23*SST_Rate</f>
        <v>0.455</v>
      </c>
      <c r="I23" s="21" t="n">
        <f aca="false">$F23-$G23-$H23</f>
        <v>2241.045</v>
      </c>
      <c r="J23" s="22" t="n">
        <f aca="false">IF($D23=0,"N/A",$I23/$D23)</f>
        <v>0.013463368477967</v>
      </c>
    </row>
    <row r="24" customFormat="false" ht="15" hidden="false" customHeight="false" outlineLevel="0" collapsed="false">
      <c r="A24" s="0" t="s">
        <v>92</v>
      </c>
      <c r="B24" s="20" t="n">
        <f aca="false">SUMIF('Daily Trade Summary'!$A:$A,$A24,'Daily Trade Summary'!$B:$B)</f>
        <v>23876</v>
      </c>
      <c r="C24" s="20" t="n">
        <f aca="false">SUMIF('Daily Trade Summary'!$A:$A,$A24,'Daily Trade Summary'!$E:$E)</f>
        <v>23876</v>
      </c>
      <c r="D24" s="21" t="n">
        <f aca="false">SUMIF('Daily Trade Summary'!$A:$A,$A24,'Daily Trade Summary'!$C:$C)</f>
        <v>7578914.66</v>
      </c>
      <c r="E24" s="21" t="n">
        <f aca="false">SUMIF('Daily Trade Summary'!$A:$A,$A24,'Daily Trade Summary'!$F:$F)</f>
        <v>7583668.98</v>
      </c>
      <c r="F24" s="21" t="n">
        <f aca="false">$E24-$D24</f>
        <v>4754.31999999937</v>
      </c>
      <c r="G24" s="21" t="n">
        <f aca="false">SUMIF('Daily Trade Summary'!$A:$A,$A24,'Daily Trade Summary'!$L:$L)</f>
        <v>2464.6924185</v>
      </c>
      <c r="H24" s="21" t="n">
        <f aca="false">$G24*SST_Rate</f>
        <v>320.410014405</v>
      </c>
      <c r="I24" s="21" t="n">
        <f aca="false">$F24-$G24-$H24</f>
        <v>1969.21756709437</v>
      </c>
      <c r="J24" s="22" t="n">
        <f aca="false">IF($D24=0,"N/A",$I24/$D24)</f>
        <v>0.000259828439220658</v>
      </c>
    </row>
    <row r="25" customFormat="false" ht="15" hidden="false" customHeight="false" outlineLevel="0" collapsed="false">
      <c r="A25" s="0" t="s">
        <v>93</v>
      </c>
      <c r="B25" s="20" t="n">
        <f aca="false">SUMIF('Daily Trade Summary'!$A:$A,$A25,'Daily Trade Summary'!$B:$B)</f>
        <v>10000</v>
      </c>
      <c r="C25" s="20" t="n">
        <f aca="false">SUMIF('Daily Trade Summary'!$A:$A,$A25,'Daily Trade Summary'!$E:$E)</f>
        <v>10000</v>
      </c>
      <c r="D25" s="21" t="n">
        <f aca="false">SUMIF('Daily Trade Summary'!$A:$A,$A25,'Daily Trade Summary'!$C:$C)</f>
        <v>2005240.21</v>
      </c>
      <c r="E25" s="21" t="n">
        <f aca="false">SUMIF('Daily Trade Summary'!$A:$A,$A25,'Daily Trade Summary'!$F:$F)</f>
        <v>2007935.88</v>
      </c>
      <c r="F25" s="21" t="n">
        <f aca="false">$E25-$D25</f>
        <v>2695.66999999993</v>
      </c>
      <c r="G25" s="21" t="n">
        <f aca="false">SUMIF('Daily Trade Summary'!$A:$A,$A25,'Daily Trade Summary'!$L:$L)</f>
        <v>652.579161</v>
      </c>
      <c r="H25" s="21" t="n">
        <f aca="false">$G25*SST_Rate</f>
        <v>84.83529093</v>
      </c>
      <c r="I25" s="21" t="n">
        <f aca="false">$F25-$G25-$H25</f>
        <v>1958.25554806993</v>
      </c>
      <c r="J25" s="22" t="n">
        <f aca="false">IF($D25=0,"N/A",$I25/$D25)</f>
        <v>0.000976569060556553</v>
      </c>
    </row>
    <row r="26" customFormat="false" ht="15" hidden="false" customHeight="false" outlineLevel="0" collapsed="false">
      <c r="A26" s="0" t="s">
        <v>94</v>
      </c>
      <c r="B26" s="20" t="n">
        <f aca="false">SUMIF('Daily Trade Summary'!$A:$A,$A26,'Daily Trade Summary'!$B:$B)</f>
        <v>11000</v>
      </c>
      <c r="C26" s="20" t="n">
        <f aca="false">SUMIF('Daily Trade Summary'!$A:$A,$A26,'Daily Trade Summary'!$E:$E)</f>
        <v>11000</v>
      </c>
      <c r="D26" s="21" t="n">
        <f aca="false">SUMIF('Daily Trade Summary'!$A:$A,$A26,'Daily Trade Summary'!$C:$C)</f>
        <v>2068175</v>
      </c>
      <c r="E26" s="21" t="n">
        <f aca="false">SUMIF('Daily Trade Summary'!$A:$A,$A26,'Daily Trade Summary'!$F:$F)</f>
        <v>2070865</v>
      </c>
      <c r="F26" s="21" t="n">
        <f aca="false">$E26-$D26</f>
        <v>2690</v>
      </c>
      <c r="G26" s="21" t="n">
        <f aca="false">SUMIF('Daily Trade Summary'!$A:$A,$A26,'Daily Trade Summary'!$L:$L)</f>
        <v>673.031125</v>
      </c>
      <c r="H26" s="21" t="n">
        <f aca="false">$G26*SST_Rate</f>
        <v>87.49404625</v>
      </c>
      <c r="I26" s="21" t="n">
        <f aca="false">$F26-$G26-$H26</f>
        <v>1929.47482875</v>
      </c>
      <c r="J26" s="22" t="n">
        <f aca="false">IF($D26=0,"N/A",$I26/$D26)</f>
        <v>0.000932935959843824</v>
      </c>
    </row>
    <row r="27" customFormat="false" ht="15" hidden="false" customHeight="false" outlineLevel="0" collapsed="false">
      <c r="A27" s="0" t="s">
        <v>95</v>
      </c>
      <c r="B27" s="20" t="n">
        <f aca="false">SUMIF('Daily Trade Summary'!$A:$A,$A27,'Daily Trade Summary'!$B:$B)</f>
        <v>500</v>
      </c>
      <c r="C27" s="20" t="n">
        <f aca="false">SUMIF('Daily Trade Summary'!$A:$A,$A27,'Daily Trade Summary'!$E:$E)</f>
        <v>500</v>
      </c>
      <c r="D27" s="21" t="n">
        <f aca="false">SUMIF('Daily Trade Summary'!$A:$A,$A27,'Daily Trade Summary'!$C:$C)</f>
        <v>570000</v>
      </c>
      <c r="E27" s="21" t="n">
        <f aca="false">SUMIF('Daily Trade Summary'!$A:$A,$A27,'Daily Trade Summary'!$F:$F)</f>
        <v>571950</v>
      </c>
      <c r="F27" s="21" t="n">
        <f aca="false">$E27-$D27</f>
        <v>1950</v>
      </c>
      <c r="G27" s="21" t="n">
        <f aca="false">SUMIF('Daily Trade Summary'!$A:$A,$A27,'Daily Trade Summary'!$L:$L)</f>
        <v>185.88375</v>
      </c>
      <c r="H27" s="21" t="n">
        <f aca="false">$G27*SST_Rate</f>
        <v>24.1648875</v>
      </c>
      <c r="I27" s="21" t="n">
        <f aca="false">$F27-$G27-$H27</f>
        <v>1739.9513625</v>
      </c>
      <c r="J27" s="22" t="n">
        <f aca="false">IF($D27=0,"N/A",$I27/$D27)</f>
        <v>0.00305254625</v>
      </c>
    </row>
    <row r="28" customFormat="false" ht="15" hidden="false" customHeight="false" outlineLevel="0" collapsed="false">
      <c r="A28" s="0" t="s">
        <v>96</v>
      </c>
      <c r="B28" s="20" t="n">
        <f aca="false">SUMIF('Daily Trade Summary'!$A:$A,$A28,'Daily Trade Summary'!$B:$B)</f>
        <v>33000</v>
      </c>
      <c r="C28" s="20" t="n">
        <f aca="false">SUMIF('Daily Trade Summary'!$A:$A,$A28,'Daily Trade Summary'!$E:$E)</f>
        <v>33000</v>
      </c>
      <c r="D28" s="21" t="n">
        <f aca="false">SUMIF('Daily Trade Summary'!$A:$A,$A28,'Daily Trade Summary'!$C:$C)</f>
        <v>1946600</v>
      </c>
      <c r="E28" s="21" t="n">
        <f aca="false">SUMIF('Daily Trade Summary'!$A:$A,$A28,'Daily Trade Summary'!$F:$F)</f>
        <v>1948970</v>
      </c>
      <c r="F28" s="21" t="n">
        <f aca="false">$E28-$D28</f>
        <v>2370</v>
      </c>
      <c r="G28" s="21" t="n">
        <f aca="false">SUMIF('Daily Trade Summary'!$A:$A,$A28,'Daily Trade Summary'!$L:$L)</f>
        <v>633.41525</v>
      </c>
      <c r="H28" s="21" t="n">
        <f aca="false">$G28*SST_Rate</f>
        <v>82.3439825</v>
      </c>
      <c r="I28" s="21" t="n">
        <f aca="false">$F28-$G28-$H28</f>
        <v>1654.2407675</v>
      </c>
      <c r="J28" s="22" t="n">
        <f aca="false">IF($D28=0,"N/A",$I28/$D28)</f>
        <v>0.000849810319274633</v>
      </c>
    </row>
    <row r="29" customFormat="false" ht="15" hidden="false" customHeight="false" outlineLevel="0" collapsed="false">
      <c r="A29" s="0" t="s">
        <v>97</v>
      </c>
      <c r="B29" s="20" t="n">
        <f aca="false">SUMIF('Daily Trade Summary'!$A:$A,$A29,'Daily Trade Summary'!$B:$B)</f>
        <v>1000</v>
      </c>
      <c r="C29" s="20" t="n">
        <f aca="false">SUMIF('Daily Trade Summary'!$A:$A,$A29,'Daily Trade Summary'!$E:$E)</f>
        <v>1000</v>
      </c>
      <c r="D29" s="21" t="n">
        <f aca="false">SUMIF('Daily Trade Summary'!$A:$A,$A29,'Daily Trade Summary'!$C:$C)</f>
        <v>504000</v>
      </c>
      <c r="E29" s="21" t="n">
        <f aca="false">SUMIF('Daily Trade Summary'!$A:$A,$A29,'Daily Trade Summary'!$F:$F)</f>
        <v>505150</v>
      </c>
      <c r="F29" s="21" t="n">
        <f aca="false">$E29-$D29</f>
        <v>1150</v>
      </c>
      <c r="G29" s="21" t="n">
        <f aca="false">SUMIF('Daily Trade Summary'!$A:$A,$A29,'Daily Trade Summary'!$L:$L)</f>
        <v>164.17375</v>
      </c>
      <c r="H29" s="21" t="n">
        <f aca="false">$G29*SST_Rate</f>
        <v>21.3425875</v>
      </c>
      <c r="I29" s="21" t="n">
        <f aca="false">$F29-$G29-$H29</f>
        <v>964.4836625</v>
      </c>
      <c r="J29" s="22" t="n">
        <f aca="false">IF($D29=0,"N/A",$I29/$D29)</f>
        <v>0.00191365806051587</v>
      </c>
    </row>
    <row r="30" customFormat="false" ht="15" hidden="false" customHeight="false" outlineLevel="0" collapsed="false">
      <c r="A30" s="0" t="s">
        <v>98</v>
      </c>
      <c r="B30" s="20" t="n">
        <f aca="false">SUMIF('Daily Trade Summary'!$A:$A,$A30,'Daily Trade Summary'!$B:$B)</f>
        <v>530</v>
      </c>
      <c r="C30" s="20" t="n">
        <f aca="false">SUMIF('Daily Trade Summary'!$A:$A,$A30,'Daily Trade Summary'!$E:$E)</f>
        <v>530</v>
      </c>
      <c r="D30" s="21" t="n">
        <f aca="false">SUMIF('Daily Trade Summary'!$A:$A,$A30,'Daily Trade Summary'!$C:$C)</f>
        <v>62672.5</v>
      </c>
      <c r="E30" s="21" t="n">
        <f aca="false">SUMIF('Daily Trade Summary'!$A:$A,$A30,'Daily Trade Summary'!$F:$F)</f>
        <v>63600</v>
      </c>
      <c r="F30" s="21" t="n">
        <f aca="false">$E30-$D30</f>
        <v>927.5</v>
      </c>
      <c r="G30" s="21" t="n">
        <f aca="false">SUMIF('Daily Trade Summary'!$A:$A,$A30,'Daily Trade Summary'!$L:$L)</f>
        <v>20.67</v>
      </c>
      <c r="H30" s="21" t="n">
        <f aca="false">$G30*SST_Rate</f>
        <v>2.6871</v>
      </c>
      <c r="I30" s="21" t="n">
        <f aca="false">$F30-$G30-$H30</f>
        <v>904.1429</v>
      </c>
      <c r="J30" s="22" t="n">
        <f aca="false">IF($D30=0,"N/A",$I30/$D30)</f>
        <v>0.0144264693446089</v>
      </c>
    </row>
    <row r="31" customFormat="false" ht="15" hidden="false" customHeight="false" outlineLevel="0" collapsed="false">
      <c r="A31" s="0" t="s">
        <v>99</v>
      </c>
      <c r="B31" s="20" t="n">
        <f aca="false">SUMIF('Daily Trade Summary'!$A:$A,$A31,'Daily Trade Summary'!$B:$B)</f>
        <v>5000</v>
      </c>
      <c r="C31" s="20" t="n">
        <f aca="false">SUMIF('Daily Trade Summary'!$A:$A,$A31,'Daily Trade Summary'!$E:$E)</f>
        <v>5000</v>
      </c>
      <c r="D31" s="21" t="n">
        <f aca="false">SUMIF('Daily Trade Summary'!$A:$A,$A31,'Daily Trade Summary'!$C:$C)</f>
        <v>326000</v>
      </c>
      <c r="E31" s="21" t="n">
        <f aca="false">SUMIF('Daily Trade Summary'!$A:$A,$A31,'Daily Trade Summary'!$F:$F)</f>
        <v>327000</v>
      </c>
      <c r="F31" s="21" t="n">
        <f aca="false">$E31-$D31</f>
        <v>1000</v>
      </c>
      <c r="G31" s="21" t="n">
        <f aca="false">SUMIF('Daily Trade Summary'!$A:$A,$A31,'Daily Trade Summary'!$L:$L)</f>
        <v>106.275</v>
      </c>
      <c r="H31" s="21" t="n">
        <f aca="false">$G31*SST_Rate</f>
        <v>13.81575</v>
      </c>
      <c r="I31" s="21" t="n">
        <f aca="false">$F31-$G31-$H31</f>
        <v>879.90925</v>
      </c>
      <c r="J31" s="22" t="n">
        <f aca="false">IF($D31=0,"N/A",$I31/$D31)</f>
        <v>0.00269910812883436</v>
      </c>
    </row>
    <row r="32" customFormat="false" ht="15" hidden="false" customHeight="false" outlineLevel="0" collapsed="false">
      <c r="A32" s="0" t="s">
        <v>100</v>
      </c>
      <c r="B32" s="20" t="n">
        <f aca="false">SUMIF('Daily Trade Summary'!$A:$A,$A32,'Daily Trade Summary'!$B:$B)</f>
        <v>35000</v>
      </c>
      <c r="C32" s="20" t="n">
        <f aca="false">SUMIF('Daily Trade Summary'!$A:$A,$A32,'Daily Trade Summary'!$E:$E)</f>
        <v>35000</v>
      </c>
      <c r="D32" s="21" t="n">
        <f aca="false">SUMIF('Daily Trade Summary'!$A:$A,$A32,'Daily Trade Summary'!$C:$C)</f>
        <v>7725790</v>
      </c>
      <c r="E32" s="21" t="n">
        <f aca="false">SUMIF('Daily Trade Summary'!$A:$A,$A32,'Daily Trade Summary'!$F:$F)</f>
        <v>7729415</v>
      </c>
      <c r="F32" s="21" t="n">
        <f aca="false">$E32-$D32</f>
        <v>3625</v>
      </c>
      <c r="G32" s="21" t="n">
        <f aca="false">SUMIF('Daily Trade Summary'!$A:$A,$A32,'Daily Trade Summary'!$L:$L)</f>
        <v>2512.059875</v>
      </c>
      <c r="H32" s="21" t="n">
        <f aca="false">$G32*SST_Rate</f>
        <v>326.56778375</v>
      </c>
      <c r="I32" s="21" t="n">
        <f aca="false">$F32-$G32-$H32</f>
        <v>786.37234125</v>
      </c>
      <c r="J32" s="22" t="n">
        <f aca="false">IF($D32=0,"N/A",$I32/$D32)</f>
        <v>0.000101785363212047</v>
      </c>
    </row>
    <row r="33" customFormat="false" ht="15" hidden="false" customHeight="false" outlineLevel="0" collapsed="false">
      <c r="A33" s="0" t="s">
        <v>101</v>
      </c>
      <c r="B33" s="20" t="n">
        <f aca="false">SUMIF('Daily Trade Summary'!$A:$A,$A33,'Daily Trade Summary'!$B:$B)</f>
        <v>9000</v>
      </c>
      <c r="C33" s="20" t="n">
        <f aca="false">SUMIF('Daily Trade Summary'!$A:$A,$A33,'Daily Trade Summary'!$E:$E)</f>
        <v>9000</v>
      </c>
      <c r="D33" s="21" t="n">
        <f aca="false">SUMIF('Daily Trade Summary'!$A:$A,$A33,'Daily Trade Summary'!$C:$C)</f>
        <v>3211025</v>
      </c>
      <c r="E33" s="21" t="n">
        <f aca="false">SUMIF('Daily Trade Summary'!$A:$A,$A33,'Daily Trade Summary'!$F:$F)</f>
        <v>3212970</v>
      </c>
      <c r="F33" s="21" t="n">
        <f aca="false">$E33-$D33</f>
        <v>1945</v>
      </c>
      <c r="G33" s="21" t="n">
        <f aca="false">SUMIF('Daily Trade Summary'!$A:$A,$A33,'Daily Trade Summary'!$L:$L)</f>
        <v>1044.21525</v>
      </c>
      <c r="H33" s="21" t="n">
        <f aca="false">$G33*SST_Rate</f>
        <v>135.7479825</v>
      </c>
      <c r="I33" s="21" t="n">
        <f aca="false">$F33-$G33-$H33</f>
        <v>765.0367675</v>
      </c>
      <c r="J33" s="22" t="n">
        <f aca="false">IF($D33=0,"N/A",$I33/$D33)</f>
        <v>0.000238253133345271</v>
      </c>
    </row>
    <row r="34" customFormat="false" ht="15" hidden="false" customHeight="false" outlineLevel="0" collapsed="false">
      <c r="A34" s="0" t="s">
        <v>102</v>
      </c>
      <c r="B34" s="20" t="n">
        <f aca="false">SUMIF('Daily Trade Summary'!$A:$A,$A34,'Daily Trade Summary'!$B:$B)</f>
        <v>20000</v>
      </c>
      <c r="C34" s="20" t="n">
        <f aca="false">SUMIF('Daily Trade Summary'!$A:$A,$A34,'Daily Trade Summary'!$E:$E)</f>
        <v>20000</v>
      </c>
      <c r="D34" s="21" t="n">
        <f aca="false">SUMIF('Daily Trade Summary'!$A:$A,$A34,'Daily Trade Summary'!$C:$C)</f>
        <v>586020</v>
      </c>
      <c r="E34" s="21" t="n">
        <f aca="false">SUMIF('Daily Trade Summary'!$A:$A,$A34,'Daily Trade Summary'!$F:$F)</f>
        <v>586725</v>
      </c>
      <c r="F34" s="21" t="n">
        <f aca="false">$E34-$D34</f>
        <v>705</v>
      </c>
      <c r="G34" s="21" t="n">
        <f aca="false">SUMIF('Daily Trade Summary'!$A:$A,$A34,'Daily Trade Summary'!$L:$L)</f>
        <v>3.5</v>
      </c>
      <c r="H34" s="21" t="n">
        <f aca="false">$G34*SST_Rate</f>
        <v>0.455</v>
      </c>
      <c r="I34" s="21" t="n">
        <f aca="false">$F34-$G34-$H34</f>
        <v>701.045</v>
      </c>
      <c r="J34" s="22" t="n">
        <f aca="false">IF($D34=0,"N/A",$I34/$D34)</f>
        <v>0.00119628169687041</v>
      </c>
    </row>
    <row r="35" customFormat="false" ht="15" hidden="false" customHeight="false" outlineLevel="0" collapsed="false">
      <c r="A35" s="0" t="s">
        <v>103</v>
      </c>
      <c r="B35" s="20" t="n">
        <f aca="false">SUMIF('Daily Trade Summary'!$A:$A,$A35,'Daily Trade Summary'!$B:$B)</f>
        <v>47381</v>
      </c>
      <c r="C35" s="20" t="n">
        <f aca="false">SUMIF('Daily Trade Summary'!$A:$A,$A35,'Daily Trade Summary'!$E:$E)</f>
        <v>47381</v>
      </c>
      <c r="D35" s="21" t="n">
        <f aca="false">SUMIF('Daily Trade Summary'!$A:$A,$A35,'Daily Trade Summary'!$C:$C)</f>
        <v>4521683.35</v>
      </c>
      <c r="E35" s="21" t="n">
        <f aca="false">SUMIF('Daily Trade Summary'!$A:$A,$A35,'Daily Trade Summary'!$F:$F)</f>
        <v>4523866.31</v>
      </c>
      <c r="F35" s="21" t="n">
        <f aca="false">$E35-$D35</f>
        <v>2182.95999999996</v>
      </c>
      <c r="G35" s="21" t="n">
        <f aca="false">SUMIF('Daily Trade Summary'!$A:$A,$A35,'Daily Trade Summary'!$L:$L)</f>
        <v>1470.25655075</v>
      </c>
      <c r="H35" s="21" t="n">
        <f aca="false">$G35*SST_Rate</f>
        <v>191.1333515975</v>
      </c>
      <c r="I35" s="21" t="n">
        <f aca="false">$F35-$G35-$H35</f>
        <v>521.570097652463</v>
      </c>
      <c r="J35" s="22" t="n">
        <f aca="false">IF($D35=0,"N/A",$I35/$D35)</f>
        <v>0.000115348656082355</v>
      </c>
    </row>
    <row r="36" customFormat="false" ht="15" hidden="false" customHeight="false" outlineLevel="0" collapsed="false">
      <c r="A36" s="0" t="s">
        <v>104</v>
      </c>
      <c r="B36" s="20" t="n">
        <f aca="false">SUMIF('Daily Trade Summary'!$A:$A,$A36,'Daily Trade Summary'!$B:$B)</f>
        <v>610</v>
      </c>
      <c r="C36" s="20" t="n">
        <f aca="false">SUMIF('Daily Trade Summary'!$A:$A,$A36,'Daily Trade Summary'!$E:$E)</f>
        <v>610</v>
      </c>
      <c r="D36" s="21" t="n">
        <f aca="false">SUMIF('Daily Trade Summary'!$A:$A,$A36,'Daily Trade Summary'!$C:$C)</f>
        <v>234872</v>
      </c>
      <c r="E36" s="21" t="n">
        <f aca="false">SUMIF('Daily Trade Summary'!$A:$A,$A36,'Daily Trade Summary'!$F:$F)</f>
        <v>235367</v>
      </c>
      <c r="F36" s="21" t="n">
        <f aca="false">$E36-$D36</f>
        <v>495</v>
      </c>
      <c r="G36" s="21" t="n">
        <f aca="false">SUMIF('Daily Trade Summary'!$A:$A,$A36,'Daily Trade Summary'!$L:$L)</f>
        <v>76.494275</v>
      </c>
      <c r="H36" s="21" t="n">
        <f aca="false">$G36*SST_Rate</f>
        <v>9.94425575</v>
      </c>
      <c r="I36" s="21" t="n">
        <f aca="false">$F36-$G36-$H36</f>
        <v>408.56146925</v>
      </c>
      <c r="J36" s="22" t="n">
        <f aca="false">IF($D36=0,"N/A",$I36/$D36)</f>
        <v>0.00173950691972649</v>
      </c>
    </row>
    <row r="37" customFormat="false" ht="15" hidden="false" customHeight="false" outlineLevel="0" collapsed="false">
      <c r="A37" s="0" t="s">
        <v>105</v>
      </c>
      <c r="B37" s="20" t="n">
        <f aca="false">SUMIF('Daily Trade Summary'!$A:$A,$A37,'Daily Trade Summary'!$B:$B)</f>
        <v>49500</v>
      </c>
      <c r="C37" s="20" t="n">
        <f aca="false">SUMIF('Daily Trade Summary'!$A:$A,$A37,'Daily Trade Summary'!$E:$E)</f>
        <v>49500</v>
      </c>
      <c r="D37" s="21" t="n">
        <f aca="false">SUMIF('Daily Trade Summary'!$A:$A,$A37,'Daily Trade Summary'!$C:$C)</f>
        <v>4780750</v>
      </c>
      <c r="E37" s="21" t="n">
        <f aca="false">SUMIF('Daily Trade Summary'!$A:$A,$A37,'Daily Trade Summary'!$F:$F)</f>
        <v>4782910</v>
      </c>
      <c r="F37" s="21" t="n">
        <f aca="false">$E37-$D37</f>
        <v>2160</v>
      </c>
      <c r="G37" s="21" t="n">
        <f aca="false">SUMIF('Daily Trade Summary'!$A:$A,$A37,'Daily Trade Summary'!$L:$L)</f>
        <v>1554.44575</v>
      </c>
      <c r="H37" s="21" t="n">
        <f aca="false">$G37*SST_Rate</f>
        <v>202.0779475</v>
      </c>
      <c r="I37" s="21" t="n">
        <f aca="false">$F37-$G37-$H37</f>
        <v>403.4763025</v>
      </c>
      <c r="J37" s="22" t="n">
        <f aca="false">IF($D37=0,"N/A",$I37/$D37)</f>
        <v>8.43960262511113E-005</v>
      </c>
    </row>
    <row r="38" customFormat="false" ht="15" hidden="false" customHeight="false" outlineLevel="0" collapsed="false">
      <c r="A38" s="0" t="s">
        <v>106</v>
      </c>
      <c r="B38" s="20" t="n">
        <f aca="false">SUMIF('Daily Trade Summary'!$A:$A,$A38,'Daily Trade Summary'!$B:$B)</f>
        <v>1359</v>
      </c>
      <c r="C38" s="20" t="n">
        <f aca="false">SUMIF('Daily Trade Summary'!$A:$A,$A38,'Daily Trade Summary'!$E:$E)</f>
        <v>1359</v>
      </c>
      <c r="D38" s="21" t="n">
        <f aca="false">SUMIF('Daily Trade Summary'!$A:$A,$A38,'Daily Trade Summary'!$C:$C)</f>
        <v>97533.2</v>
      </c>
      <c r="E38" s="21" t="n">
        <f aca="false">SUMIF('Daily Trade Summary'!$A:$A,$A38,'Daily Trade Summary'!$F:$F)</f>
        <v>97965.39</v>
      </c>
      <c r="F38" s="21" t="n">
        <f aca="false">$E38-$D38</f>
        <v>432.190000000002</v>
      </c>
      <c r="G38" s="21" t="n">
        <f aca="false">SUMIF('Daily Trade Summary'!$A:$A,$A38,'Daily Trade Summary'!$L:$L)</f>
        <v>31.83875175</v>
      </c>
      <c r="H38" s="21" t="n">
        <f aca="false">$G38*SST_Rate</f>
        <v>4.1390377275</v>
      </c>
      <c r="I38" s="21" t="n">
        <f aca="false">$F38-$G38-$H38</f>
        <v>396.212210522502</v>
      </c>
      <c r="J38" s="22" t="n">
        <f aca="false">IF($D38=0,"N/A",$I38/$D38)</f>
        <v>0.00406233170369169</v>
      </c>
    </row>
    <row r="39" customFormat="false" ht="15" hidden="false" customHeight="false" outlineLevel="0" collapsed="false">
      <c r="A39" s="0" t="s">
        <v>107</v>
      </c>
      <c r="B39" s="20" t="n">
        <f aca="false">SUMIF('Daily Trade Summary'!$A:$A,$A39,'Daily Trade Summary'!$B:$B)</f>
        <v>44500</v>
      </c>
      <c r="C39" s="20" t="n">
        <f aca="false">SUMIF('Daily Trade Summary'!$A:$A,$A39,'Daily Trade Summary'!$E:$E)</f>
        <v>44500</v>
      </c>
      <c r="D39" s="21" t="n">
        <f aca="false">SUMIF('Daily Trade Summary'!$A:$A,$A39,'Daily Trade Summary'!$C:$C)</f>
        <v>16744090</v>
      </c>
      <c r="E39" s="21" t="n">
        <f aca="false">SUMIF('Daily Trade Summary'!$A:$A,$A39,'Daily Trade Summary'!$F:$F)</f>
        <v>16750615</v>
      </c>
      <c r="F39" s="21" t="n">
        <f aca="false">$E39-$D39</f>
        <v>6525</v>
      </c>
      <c r="G39" s="21" t="n">
        <f aca="false">SUMIF('Daily Trade Summary'!$A:$A,$A39,'Daily Trade Summary'!$L:$L)</f>
        <v>5443.949875</v>
      </c>
      <c r="H39" s="21" t="n">
        <f aca="false">$G39*SST_Rate</f>
        <v>707.71348375</v>
      </c>
      <c r="I39" s="21" t="n">
        <f aca="false">$F39-$G39-$H39</f>
        <v>373.336641250001</v>
      </c>
      <c r="J39" s="22" t="n">
        <f aca="false">IF($D39=0,"N/A",$I39/$D39)</f>
        <v>2.22966217483304E-005</v>
      </c>
    </row>
    <row r="40" customFormat="false" ht="15" hidden="false" customHeight="false" outlineLevel="0" collapsed="false">
      <c r="A40" s="0" t="s">
        <v>108</v>
      </c>
      <c r="B40" s="20" t="n">
        <f aca="false">SUMIF('Daily Trade Summary'!$A:$A,$A40,'Daily Trade Summary'!$B:$B)</f>
        <v>21000</v>
      </c>
      <c r="C40" s="20" t="n">
        <f aca="false">SUMIF('Daily Trade Summary'!$A:$A,$A40,'Daily Trade Summary'!$E:$E)</f>
        <v>21000</v>
      </c>
      <c r="D40" s="21" t="n">
        <f aca="false">SUMIF('Daily Trade Summary'!$A:$A,$A40,'Daily Trade Summary'!$C:$C)</f>
        <v>523520</v>
      </c>
      <c r="E40" s="21" t="n">
        <f aca="false">SUMIF('Daily Trade Summary'!$A:$A,$A40,'Daily Trade Summary'!$F:$F)</f>
        <v>523870</v>
      </c>
      <c r="F40" s="21" t="n">
        <f aca="false">$E40-$D40</f>
        <v>350</v>
      </c>
      <c r="G40" s="21" t="n">
        <f aca="false">SUMIF('Daily Trade Summary'!$A:$A,$A40,'Daily Trade Summary'!$L:$L)</f>
        <v>3.675</v>
      </c>
      <c r="H40" s="21" t="n">
        <f aca="false">$G40*SST_Rate</f>
        <v>0.47775</v>
      </c>
      <c r="I40" s="21" t="n">
        <f aca="false">$F40-$G40-$H40</f>
        <v>345.84725</v>
      </c>
      <c r="J40" s="22" t="n">
        <f aca="false">IF($D40=0,"N/A",$I40/$D40)</f>
        <v>0.000660618983037897</v>
      </c>
    </row>
    <row r="41" customFormat="false" ht="15" hidden="false" customHeight="false" outlineLevel="0" collapsed="false">
      <c r="A41" s="0" t="s">
        <v>109</v>
      </c>
      <c r="B41" s="20" t="n">
        <f aca="false">SUMIF('Daily Trade Summary'!$A:$A,$A41,'Daily Trade Summary'!$B:$B)</f>
        <v>1000</v>
      </c>
      <c r="C41" s="20" t="n">
        <f aca="false">SUMIF('Daily Trade Summary'!$A:$A,$A41,'Daily Trade Summary'!$E:$E)</f>
        <v>1000</v>
      </c>
      <c r="D41" s="21" t="n">
        <f aca="false">SUMIF('Daily Trade Summary'!$A:$A,$A41,'Daily Trade Summary'!$C:$C)</f>
        <v>259650</v>
      </c>
      <c r="E41" s="21" t="n">
        <f aca="false">SUMIF('Daily Trade Summary'!$A:$A,$A41,'Daily Trade Summary'!$F:$F)</f>
        <v>260000</v>
      </c>
      <c r="F41" s="21" t="n">
        <f aca="false">$E41-$D41</f>
        <v>350</v>
      </c>
      <c r="G41" s="21" t="n">
        <f aca="false">SUMIF('Daily Trade Summary'!$A:$A,$A41,'Daily Trade Summary'!$L:$L)</f>
        <v>84.5</v>
      </c>
      <c r="H41" s="21" t="n">
        <f aca="false">$G41*SST_Rate</f>
        <v>10.985</v>
      </c>
      <c r="I41" s="21" t="n">
        <f aca="false">$F41-$G41-$H41</f>
        <v>254.515</v>
      </c>
      <c r="J41" s="22" t="n">
        <f aca="false">IF($D41=0,"N/A",$I41/$D41)</f>
        <v>0.000980223377623724</v>
      </c>
    </row>
    <row r="42" customFormat="false" ht="15" hidden="false" customHeight="false" outlineLevel="0" collapsed="false">
      <c r="A42" s="0" t="s">
        <v>110</v>
      </c>
      <c r="B42" s="20" t="n">
        <f aca="false">SUMIF('Daily Trade Summary'!$A:$A,$A42,'Daily Trade Summary'!$B:$B)</f>
        <v>1000</v>
      </c>
      <c r="C42" s="20" t="n">
        <f aca="false">SUMIF('Daily Trade Summary'!$A:$A,$A42,'Daily Trade Summary'!$E:$E)</f>
        <v>1000</v>
      </c>
      <c r="D42" s="21" t="n">
        <f aca="false">SUMIF('Daily Trade Summary'!$A:$A,$A42,'Daily Trade Summary'!$C:$C)</f>
        <v>151790</v>
      </c>
      <c r="E42" s="21" t="n">
        <f aca="false">SUMIF('Daily Trade Summary'!$A:$A,$A42,'Daily Trade Summary'!$F:$F)</f>
        <v>151970</v>
      </c>
      <c r="F42" s="21" t="n">
        <f aca="false">$E42-$D42</f>
        <v>180</v>
      </c>
      <c r="G42" s="21" t="n">
        <f aca="false">SUMIF('Daily Trade Summary'!$A:$A,$A42,'Daily Trade Summary'!$L:$L)</f>
        <v>49.39025</v>
      </c>
      <c r="H42" s="21" t="n">
        <f aca="false">$G42*SST_Rate</f>
        <v>6.4207325</v>
      </c>
      <c r="I42" s="21" t="n">
        <f aca="false">$F42-$G42-$H42</f>
        <v>124.1890175</v>
      </c>
      <c r="J42" s="22" t="n">
        <f aca="false">IF($D42=0,"N/A",$I42/$D42)</f>
        <v>0.000818163367151986</v>
      </c>
    </row>
    <row r="43" customFormat="false" ht="15" hidden="false" customHeight="false" outlineLevel="0" collapsed="false">
      <c r="A43" s="0" t="s">
        <v>111</v>
      </c>
      <c r="B43" s="20" t="n">
        <f aca="false">SUMIF('Daily Trade Summary'!$A:$A,$A43,'Daily Trade Summary'!$B:$B)</f>
        <v>20000</v>
      </c>
      <c r="C43" s="20" t="n">
        <f aca="false">SUMIF('Daily Trade Summary'!$A:$A,$A43,'Daily Trade Summary'!$E:$E)</f>
        <v>20000</v>
      </c>
      <c r="D43" s="21" t="n">
        <f aca="false">SUMIF('Daily Trade Summary'!$A:$A,$A43,'Daily Trade Summary'!$C:$C)</f>
        <v>1814455</v>
      </c>
      <c r="E43" s="21" t="n">
        <f aca="false">SUMIF('Daily Trade Summary'!$A:$A,$A43,'Daily Trade Summary'!$F:$F)</f>
        <v>1815200</v>
      </c>
      <c r="F43" s="21" t="n">
        <f aca="false">$E43-$D43</f>
        <v>745</v>
      </c>
      <c r="G43" s="21" t="n">
        <f aca="false">SUMIF('Daily Trade Summary'!$A:$A,$A43,'Daily Trade Summary'!$L:$L)</f>
        <v>589.94</v>
      </c>
      <c r="H43" s="21" t="n">
        <f aca="false">$G43*SST_Rate</f>
        <v>76.6922</v>
      </c>
      <c r="I43" s="21" t="n">
        <f aca="false">$F43-$G43-$H43</f>
        <v>78.3678000000001</v>
      </c>
      <c r="J43" s="22" t="n">
        <f aca="false">IF($D43=0,"N/A",$I43/$D43)</f>
        <v>4.31908203840823E-005</v>
      </c>
    </row>
    <row r="44" customFormat="false" ht="15" hidden="false" customHeight="false" outlineLevel="0" collapsed="false">
      <c r="A44" s="0" t="s">
        <v>112</v>
      </c>
      <c r="B44" s="20" t="n">
        <f aca="false">SUMIF('Daily Trade Summary'!$A:$A,$A44,'Daily Trade Summary'!$B:$B)</f>
        <v>10000</v>
      </c>
      <c r="C44" s="20" t="n">
        <f aca="false">SUMIF('Daily Trade Summary'!$A:$A,$A44,'Daily Trade Summary'!$E:$E)</f>
        <v>10000</v>
      </c>
      <c r="D44" s="21" t="n">
        <f aca="false">SUMIF('Daily Trade Summary'!$A:$A,$A44,'Daily Trade Summary'!$C:$C)</f>
        <v>350000</v>
      </c>
      <c r="E44" s="21" t="n">
        <f aca="false">SUMIF('Daily Trade Summary'!$A:$A,$A44,'Daily Trade Summary'!$F:$F)</f>
        <v>350025</v>
      </c>
      <c r="F44" s="21" t="n">
        <f aca="false">$E44-$D44</f>
        <v>25</v>
      </c>
      <c r="G44" s="21" t="n">
        <f aca="false">SUMIF('Daily Trade Summary'!$A:$A,$A44,'Daily Trade Summary'!$L:$L)</f>
        <v>1.75</v>
      </c>
      <c r="H44" s="21" t="n">
        <f aca="false">$G44*SST_Rate</f>
        <v>0.2275</v>
      </c>
      <c r="I44" s="21" t="n">
        <f aca="false">$F44-$G44-$H44</f>
        <v>23.0225</v>
      </c>
      <c r="J44" s="22" t="n">
        <f aca="false">IF($D44=0,"N/A",$I44/$D44)</f>
        <v>6.57785714285714E-005</v>
      </c>
    </row>
    <row r="45" customFormat="false" ht="15" hidden="false" customHeight="false" outlineLevel="0" collapsed="false">
      <c r="A45" s="0" t="s">
        <v>113</v>
      </c>
      <c r="B45" s="20" t="n">
        <f aca="false">SUMIF('Daily Trade Summary'!$A:$A,$A45,'Daily Trade Summary'!$B:$B)</f>
        <v>20000</v>
      </c>
      <c r="C45" s="20" t="n">
        <f aca="false">SUMIF('Daily Trade Summary'!$A:$A,$A45,'Daily Trade Summary'!$E:$E)</f>
        <v>20000</v>
      </c>
      <c r="D45" s="21" t="n">
        <f aca="false">SUMIF('Daily Trade Summary'!$A:$A,$A45,'Daily Trade Summary'!$C:$C)</f>
        <v>1589480</v>
      </c>
      <c r="E45" s="21" t="n">
        <f aca="false">SUMIF('Daily Trade Summary'!$A:$A,$A45,'Daily Trade Summary'!$F:$F)</f>
        <v>1590070</v>
      </c>
      <c r="F45" s="21" t="n">
        <f aca="false">$E45-$D45</f>
        <v>590</v>
      </c>
      <c r="G45" s="21" t="n">
        <f aca="false">SUMIF('Daily Trade Summary'!$A:$A,$A45,'Daily Trade Summary'!$L:$L)</f>
        <v>516.77275</v>
      </c>
      <c r="H45" s="21" t="n">
        <f aca="false">$G45*SST_Rate</f>
        <v>67.1804575</v>
      </c>
      <c r="I45" s="21" t="n">
        <f aca="false">$F45-$G45-$H45</f>
        <v>6.04679250000002</v>
      </c>
      <c r="J45" s="22" t="n">
        <f aca="false">IF($D45=0,"N/A",$I45/$D45)</f>
        <v>3.80425831089414E-006</v>
      </c>
    </row>
    <row r="46" customFormat="false" ht="15" hidden="false" customHeight="false" outlineLevel="0" collapsed="false">
      <c r="A46" s="0" t="s">
        <v>114</v>
      </c>
      <c r="B46" s="20" t="n">
        <f aca="false">SUMIF('Daily Trade Summary'!$A:$A,$A46,'Daily Trade Summary'!$B:$B)</f>
        <v>10000</v>
      </c>
      <c r="C46" s="20" t="n">
        <f aca="false">SUMIF('Daily Trade Summary'!$A:$A,$A46,'Daily Trade Summary'!$E:$E)</f>
        <v>10000</v>
      </c>
      <c r="D46" s="21" t="n">
        <f aca="false">SUMIF('Daily Trade Summary'!$A:$A,$A46,'Daily Trade Summary'!$C:$C)</f>
        <v>184000</v>
      </c>
      <c r="E46" s="21" t="n">
        <f aca="false">SUMIF('Daily Trade Summary'!$A:$A,$A46,'Daily Trade Summary'!$F:$F)</f>
        <v>183965</v>
      </c>
      <c r="F46" s="21" t="n">
        <f aca="false">$E46-$D46</f>
        <v>-35</v>
      </c>
      <c r="G46" s="21" t="n">
        <f aca="false">SUMIF('Daily Trade Summary'!$A:$A,$A46,'Daily Trade Summary'!$L:$L)</f>
        <v>1.75</v>
      </c>
      <c r="H46" s="21" t="n">
        <f aca="false">$G46*SST_Rate</f>
        <v>0.2275</v>
      </c>
      <c r="I46" s="21" t="n">
        <f aca="false">$F46-$G46-$H46</f>
        <v>-36.9775</v>
      </c>
      <c r="J46" s="22" t="n">
        <f aca="false">IF($D46=0,"N/A",$I46/$D46)</f>
        <v>-0.000200964673913043</v>
      </c>
    </row>
    <row r="47" customFormat="false" ht="15" hidden="false" customHeight="false" outlineLevel="0" collapsed="false">
      <c r="A47" s="0" t="s">
        <v>115</v>
      </c>
      <c r="B47" s="20" t="n">
        <f aca="false">SUMIF('Daily Trade Summary'!$A:$A,$A47,'Daily Trade Summary'!$B:$B)</f>
        <v>48918</v>
      </c>
      <c r="C47" s="20" t="n">
        <f aca="false">SUMIF('Daily Trade Summary'!$A:$A,$A47,'Daily Trade Summary'!$E:$E)</f>
        <v>48918</v>
      </c>
      <c r="D47" s="21" t="n">
        <f aca="false">SUMIF('Daily Trade Summary'!$A:$A,$A47,'Daily Trade Summary'!$C:$C)</f>
        <v>11135310.1</v>
      </c>
      <c r="E47" s="21" t="n">
        <f aca="false">SUMIF('Daily Trade Summary'!$A:$A,$A47,'Daily Trade Summary'!$F:$F)</f>
        <v>11139310.4</v>
      </c>
      <c r="F47" s="21" t="n">
        <f aca="false">$E47-$D47</f>
        <v>4000.30000000075</v>
      </c>
      <c r="G47" s="21" t="n">
        <f aca="false">SUMIF('Daily Trade Summary'!$A:$A,$A47,'Daily Trade Summary'!$L:$L)</f>
        <v>3620.27588</v>
      </c>
      <c r="H47" s="21" t="n">
        <f aca="false">$G47*SST_Rate</f>
        <v>470.6358644</v>
      </c>
      <c r="I47" s="21" t="n">
        <f aca="false">$F47-$G47-$H47</f>
        <v>-90.6117443992546</v>
      </c>
      <c r="J47" s="22" t="n">
        <f aca="false">IF($D47=0,"N/A",$I47/$D47)</f>
        <v>-8.13733462162447E-006</v>
      </c>
    </row>
    <row r="48" customFormat="false" ht="15" hidden="false" customHeight="false" outlineLevel="0" collapsed="false">
      <c r="A48" s="0" t="s">
        <v>116</v>
      </c>
      <c r="B48" s="20" t="n">
        <f aca="false">SUMIF('Daily Trade Summary'!$A:$A,$A48,'Daily Trade Summary'!$B:$B)</f>
        <v>26500</v>
      </c>
      <c r="C48" s="20" t="n">
        <f aca="false">SUMIF('Daily Trade Summary'!$A:$A,$A48,'Daily Trade Summary'!$E:$E)</f>
        <v>26500</v>
      </c>
      <c r="D48" s="21" t="n">
        <f aca="false">SUMIF('Daily Trade Summary'!$A:$A,$A48,'Daily Trade Summary'!$C:$C)</f>
        <v>1504600</v>
      </c>
      <c r="E48" s="21" t="n">
        <f aca="false">SUMIF('Daily Trade Summary'!$A:$A,$A48,'Daily Trade Summary'!$F:$F)</f>
        <v>1504975</v>
      </c>
      <c r="F48" s="21" t="n">
        <f aca="false">$E48-$D48</f>
        <v>375</v>
      </c>
      <c r="G48" s="21" t="n">
        <f aca="false">SUMIF('Daily Trade Summary'!$A:$A,$A48,'Daily Trade Summary'!$L:$L)</f>
        <v>489.116875</v>
      </c>
      <c r="H48" s="21" t="n">
        <f aca="false">$G48*SST_Rate</f>
        <v>63.58519375</v>
      </c>
      <c r="I48" s="21" t="n">
        <f aca="false">$F48-$G48-$H48</f>
        <v>-177.70206875</v>
      </c>
      <c r="J48" s="22" t="n">
        <f aca="false">IF($D48=0,"N/A",$I48/$D48)</f>
        <v>-0.000118105854546059</v>
      </c>
    </row>
    <row r="49" customFormat="false" ht="15" hidden="false" customHeight="false" outlineLevel="0" collapsed="false">
      <c r="A49" s="0" t="s">
        <v>117</v>
      </c>
      <c r="B49" s="20" t="n">
        <f aca="false">SUMIF('Daily Trade Summary'!$A:$A,$A49,'Daily Trade Summary'!$B:$B)</f>
        <v>24500</v>
      </c>
      <c r="C49" s="20" t="n">
        <f aca="false">SUMIF('Daily Trade Summary'!$A:$A,$A49,'Daily Trade Summary'!$E:$E)</f>
        <v>24500</v>
      </c>
      <c r="D49" s="21" t="n">
        <f aca="false">SUMIF('Daily Trade Summary'!$A:$A,$A49,'Daily Trade Summary'!$C:$C)</f>
        <v>814560</v>
      </c>
      <c r="E49" s="21" t="n">
        <f aca="false">SUMIF('Daily Trade Summary'!$A:$A,$A49,'Daily Trade Summary'!$F:$F)</f>
        <v>814335</v>
      </c>
      <c r="F49" s="21" t="n">
        <f aca="false">$E49-$D49</f>
        <v>-225</v>
      </c>
      <c r="G49" s="21" t="n">
        <f aca="false">SUMIF('Daily Trade Summary'!$A:$A,$A49,'Daily Trade Summary'!$L:$L)</f>
        <v>4.2875</v>
      </c>
      <c r="H49" s="21" t="n">
        <f aca="false">$G49*SST_Rate</f>
        <v>0.557375</v>
      </c>
      <c r="I49" s="21" t="n">
        <f aca="false">$F49-$G49-$H49</f>
        <v>-229.844875</v>
      </c>
      <c r="J49" s="22" t="n">
        <f aca="false">IF($D49=0,"N/A",$I49/$D49)</f>
        <v>-0.00028217058902966</v>
      </c>
    </row>
    <row r="50" customFormat="false" ht="15" hidden="false" customHeight="false" outlineLevel="0" collapsed="false">
      <c r="A50" s="0" t="s">
        <v>118</v>
      </c>
      <c r="B50" s="20" t="n">
        <f aca="false">SUMIF('Daily Trade Summary'!$A:$A,$A50,'Daily Trade Summary'!$B:$B)</f>
        <v>2500</v>
      </c>
      <c r="C50" s="20" t="n">
        <f aca="false">SUMIF('Daily Trade Summary'!$A:$A,$A50,'Daily Trade Summary'!$E:$E)</f>
        <v>2500</v>
      </c>
      <c r="D50" s="21" t="n">
        <f aca="false">SUMIF('Daily Trade Summary'!$A:$A,$A50,'Daily Trade Summary'!$C:$C)</f>
        <v>180000</v>
      </c>
      <c r="E50" s="21" t="n">
        <f aca="false">SUMIF('Daily Trade Summary'!$A:$A,$A50,'Daily Trade Summary'!$F:$F)</f>
        <v>179750</v>
      </c>
      <c r="F50" s="21" t="n">
        <f aca="false">$E50-$D50</f>
        <v>-250</v>
      </c>
      <c r="G50" s="21" t="n">
        <f aca="false">SUMIF('Daily Trade Summary'!$A:$A,$A50,'Daily Trade Summary'!$L:$L)</f>
        <v>58.41875</v>
      </c>
      <c r="H50" s="21" t="n">
        <f aca="false">$G50*SST_Rate</f>
        <v>7.5944375</v>
      </c>
      <c r="I50" s="21" t="n">
        <f aca="false">$F50-$G50-$H50</f>
        <v>-316.0131875</v>
      </c>
      <c r="J50" s="22" t="n">
        <f aca="false">IF($D50=0,"N/A",$I50/$D50)</f>
        <v>-0.00175562881944444</v>
      </c>
    </row>
    <row r="51" customFormat="false" ht="15" hidden="false" customHeight="false" outlineLevel="0" collapsed="false">
      <c r="A51" s="0" t="s">
        <v>119</v>
      </c>
      <c r="B51" s="20" t="n">
        <f aca="false">SUMIF('Daily Trade Summary'!$A:$A,$A51,'Daily Trade Summary'!$B:$B)</f>
        <v>8500</v>
      </c>
      <c r="C51" s="20" t="n">
        <f aca="false">SUMIF('Daily Trade Summary'!$A:$A,$A51,'Daily Trade Summary'!$E:$E)</f>
        <v>8500</v>
      </c>
      <c r="D51" s="21" t="n">
        <f aca="false">SUMIF('Daily Trade Summary'!$A:$A,$A51,'Daily Trade Summary'!$C:$C)</f>
        <v>674515</v>
      </c>
      <c r="E51" s="21" t="n">
        <f aca="false">SUMIF('Daily Trade Summary'!$A:$A,$A51,'Daily Trade Summary'!$F:$F)</f>
        <v>674350</v>
      </c>
      <c r="F51" s="21" t="n">
        <f aca="false">$E51-$D51</f>
        <v>-165</v>
      </c>
      <c r="G51" s="21" t="n">
        <f aca="false">SUMIF('Daily Trade Summary'!$A:$A,$A51,'Daily Trade Summary'!$L:$L)</f>
        <v>219.16375</v>
      </c>
      <c r="H51" s="21" t="n">
        <f aca="false">$G51*SST_Rate</f>
        <v>28.4912875</v>
      </c>
      <c r="I51" s="21" t="n">
        <f aca="false">$F51-$G51-$H51</f>
        <v>-412.6550375</v>
      </c>
      <c r="J51" s="22" t="n">
        <f aca="false">IF($D51=0,"N/A",$I51/$D51)</f>
        <v>-0.000611780371822717</v>
      </c>
    </row>
    <row r="52" customFormat="false" ht="15" hidden="false" customHeight="false" outlineLevel="0" collapsed="false">
      <c r="A52" s="0" t="s">
        <v>120</v>
      </c>
      <c r="B52" s="20" t="n">
        <f aca="false">SUMIF('Daily Trade Summary'!$A:$A,$A52,'Daily Trade Summary'!$B:$B)</f>
        <v>5000</v>
      </c>
      <c r="C52" s="20" t="n">
        <f aca="false">SUMIF('Daily Trade Summary'!$A:$A,$A52,'Daily Trade Summary'!$E:$E)</f>
        <v>5000</v>
      </c>
      <c r="D52" s="21" t="n">
        <f aca="false">SUMIF('Daily Trade Summary'!$A:$A,$A52,'Daily Trade Summary'!$C:$C)</f>
        <v>294750</v>
      </c>
      <c r="E52" s="21" t="n">
        <f aca="false">SUMIF('Daily Trade Summary'!$A:$A,$A52,'Daily Trade Summary'!$F:$F)</f>
        <v>294348.59</v>
      </c>
      <c r="F52" s="21" t="n">
        <f aca="false">$E52-$D52</f>
        <v>-401.409999999974</v>
      </c>
      <c r="G52" s="21" t="n">
        <f aca="false">SUMIF('Daily Trade Summary'!$A:$A,$A52,'Daily Trade Summary'!$L:$L)</f>
        <v>95.66329175</v>
      </c>
      <c r="H52" s="21" t="n">
        <f aca="false">$G52*SST_Rate</f>
        <v>12.4362279275</v>
      </c>
      <c r="I52" s="21" t="n">
        <f aca="false">$F52-$G52-$H52</f>
        <v>-509.509519677474</v>
      </c>
      <c r="J52" s="22" t="n">
        <f aca="false">IF($D52=0,"N/A",$I52/$D52)</f>
        <v>-0.0017286158428413</v>
      </c>
    </row>
    <row r="53" customFormat="false" ht="15" hidden="false" customHeight="false" outlineLevel="0" collapsed="false">
      <c r="A53" s="0" t="s">
        <v>121</v>
      </c>
      <c r="B53" s="20" t="n">
        <f aca="false">SUMIF('Daily Trade Summary'!$A:$A,$A53,'Daily Trade Summary'!$B:$B)</f>
        <v>17597</v>
      </c>
      <c r="C53" s="20" t="n">
        <f aca="false">SUMIF('Daily Trade Summary'!$A:$A,$A53,'Daily Trade Summary'!$E:$E)</f>
        <v>17597</v>
      </c>
      <c r="D53" s="21" t="n">
        <f aca="false">SUMIF('Daily Trade Summary'!$A:$A,$A53,'Daily Trade Summary'!$C:$C)</f>
        <v>9293425.97</v>
      </c>
      <c r="E53" s="21" t="n">
        <f aca="false">SUMIF('Daily Trade Summary'!$A:$A,$A53,'Daily Trade Summary'!$F:$F)</f>
        <v>9296274.6</v>
      </c>
      <c r="F53" s="21" t="n">
        <f aca="false">$E53-$D53</f>
        <v>2848.63000000082</v>
      </c>
      <c r="G53" s="21" t="n">
        <f aca="false">SUMIF('Daily Trade Summary'!$A:$A,$A53,'Daily Trade Summary'!$L:$L)</f>
        <v>3021.289245</v>
      </c>
      <c r="H53" s="21" t="n">
        <f aca="false">$G53*SST_Rate</f>
        <v>392.76760185</v>
      </c>
      <c r="I53" s="21" t="n">
        <f aca="false">$F53-$G53-$H53</f>
        <v>-565.42684684918</v>
      </c>
      <c r="J53" s="22" t="n">
        <f aca="false">IF($D53=0,"N/A",$I53/$D53)</f>
        <v>-6.08415936893917E-005</v>
      </c>
    </row>
    <row r="54" customFormat="false" ht="15" hidden="false" customHeight="false" outlineLevel="0" collapsed="false">
      <c r="A54" s="0" t="s">
        <v>122</v>
      </c>
      <c r="B54" s="20" t="n">
        <f aca="false">SUMIF('Daily Trade Summary'!$A:$A,$A54,'Daily Trade Summary'!$B:$B)</f>
        <v>500</v>
      </c>
      <c r="C54" s="20" t="n">
        <f aca="false">SUMIF('Daily Trade Summary'!$A:$A,$A54,'Daily Trade Summary'!$E:$E)</f>
        <v>500</v>
      </c>
      <c r="D54" s="21" t="n">
        <f aca="false">SUMIF('Daily Trade Summary'!$A:$A,$A54,'Daily Trade Summary'!$C:$C)</f>
        <v>270500</v>
      </c>
      <c r="E54" s="21" t="n">
        <f aca="false">SUMIF('Daily Trade Summary'!$A:$A,$A54,'Daily Trade Summary'!$F:$F)</f>
        <v>270000</v>
      </c>
      <c r="F54" s="21" t="n">
        <f aca="false">$E54-$D54</f>
        <v>-500</v>
      </c>
      <c r="G54" s="21" t="n">
        <f aca="false">SUMIF('Daily Trade Summary'!$A:$A,$A54,'Daily Trade Summary'!$L:$L)</f>
        <v>87.75</v>
      </c>
      <c r="H54" s="21" t="n">
        <f aca="false">$G54*SST_Rate</f>
        <v>11.4075</v>
      </c>
      <c r="I54" s="21" t="n">
        <f aca="false">$F54-$G54-$H54</f>
        <v>-599.1575</v>
      </c>
      <c r="J54" s="22" t="n">
        <f aca="false">IF($D54=0,"N/A",$I54/$D54)</f>
        <v>-0.002215</v>
      </c>
    </row>
    <row r="55" customFormat="false" ht="15" hidden="false" customHeight="false" outlineLevel="0" collapsed="false">
      <c r="A55" s="0" t="s">
        <v>123</v>
      </c>
      <c r="B55" s="20" t="n">
        <f aca="false">SUMIF('Daily Trade Summary'!$A:$A,$A55,'Daily Trade Summary'!$B:$B)</f>
        <v>1000</v>
      </c>
      <c r="C55" s="20" t="n">
        <f aca="false">SUMIF('Daily Trade Summary'!$A:$A,$A55,'Daily Trade Summary'!$E:$E)</f>
        <v>1000</v>
      </c>
      <c r="D55" s="21" t="n">
        <f aca="false">SUMIF('Daily Trade Summary'!$A:$A,$A55,'Daily Trade Summary'!$C:$C)</f>
        <v>413500</v>
      </c>
      <c r="E55" s="21" t="n">
        <f aca="false">SUMIF('Daily Trade Summary'!$A:$A,$A55,'Daily Trade Summary'!$F:$F)</f>
        <v>413035</v>
      </c>
      <c r="F55" s="21" t="n">
        <f aca="false">$E55-$D55</f>
        <v>-465</v>
      </c>
      <c r="G55" s="21" t="n">
        <f aca="false">SUMIF('Daily Trade Summary'!$A:$A,$A55,'Daily Trade Summary'!$L:$L)</f>
        <v>134.236375</v>
      </c>
      <c r="H55" s="21" t="n">
        <f aca="false">$G55*SST_Rate</f>
        <v>17.45072875</v>
      </c>
      <c r="I55" s="21" t="n">
        <f aca="false">$F55-$G55-$H55</f>
        <v>-616.68710375</v>
      </c>
      <c r="J55" s="22" t="n">
        <f aca="false">IF($D55=0,"N/A",$I55/$D55)</f>
        <v>-0.00149138356408706</v>
      </c>
    </row>
    <row r="56" customFormat="false" ht="15" hidden="false" customHeight="false" outlineLevel="0" collapsed="false">
      <c r="A56" s="0" t="s">
        <v>124</v>
      </c>
      <c r="B56" s="20" t="n">
        <f aca="false">SUMIF('Daily Trade Summary'!$A:$A,$A56,'Daily Trade Summary'!$B:$B)</f>
        <v>19500</v>
      </c>
      <c r="C56" s="20" t="n">
        <f aca="false">SUMIF('Daily Trade Summary'!$A:$A,$A56,'Daily Trade Summary'!$E:$E)</f>
        <v>19500</v>
      </c>
      <c r="D56" s="21" t="n">
        <f aca="false">SUMIF('Daily Trade Summary'!$A:$A,$A56,'Daily Trade Summary'!$C:$C)</f>
        <v>6292040</v>
      </c>
      <c r="E56" s="21" t="n">
        <f aca="false">SUMIF('Daily Trade Summary'!$A:$A,$A56,'Daily Trade Summary'!$F:$F)</f>
        <v>6293650</v>
      </c>
      <c r="F56" s="21" t="n">
        <f aca="false">$E56-$D56</f>
        <v>1610</v>
      </c>
      <c r="G56" s="21" t="n">
        <f aca="false">SUMIF('Daily Trade Summary'!$A:$A,$A56,'Daily Trade Summary'!$L:$L)</f>
        <v>2045.43625</v>
      </c>
      <c r="H56" s="21" t="n">
        <f aca="false">$G56*SST_Rate</f>
        <v>265.9067125</v>
      </c>
      <c r="I56" s="21" t="n">
        <f aca="false">$F56-$G56-$H56</f>
        <v>-701.3429625</v>
      </c>
      <c r="J56" s="22" t="n">
        <f aca="false">IF($D56=0,"N/A",$I56/$D56)</f>
        <v>-0.000111465115050127</v>
      </c>
    </row>
    <row r="57" customFormat="false" ht="15" hidden="false" customHeight="false" outlineLevel="0" collapsed="false">
      <c r="A57" s="0" t="s">
        <v>125</v>
      </c>
      <c r="B57" s="20" t="n">
        <f aca="false">SUMIF('Daily Trade Summary'!$A:$A,$A57,'Daily Trade Summary'!$B:$B)</f>
        <v>46500</v>
      </c>
      <c r="C57" s="20" t="n">
        <f aca="false">SUMIF('Daily Trade Summary'!$A:$A,$A57,'Daily Trade Summary'!$E:$E)</f>
        <v>46500</v>
      </c>
      <c r="D57" s="21" t="n">
        <f aca="false">SUMIF('Daily Trade Summary'!$A:$A,$A57,'Daily Trade Summary'!$C:$C)</f>
        <v>15328230</v>
      </c>
      <c r="E57" s="21" t="n">
        <f aca="false">SUMIF('Daily Trade Summary'!$A:$A,$A57,'Daily Trade Summary'!$F:$F)</f>
        <v>15333045</v>
      </c>
      <c r="F57" s="21" t="n">
        <f aca="false">$E57-$D57</f>
        <v>4815</v>
      </c>
      <c r="G57" s="21" t="n">
        <f aca="false">SUMIF('Daily Trade Summary'!$A:$A,$A57,'Daily Trade Summary'!$L:$L)</f>
        <v>4983.239625</v>
      </c>
      <c r="H57" s="21" t="n">
        <f aca="false">$G57*SST_Rate</f>
        <v>647.82115125</v>
      </c>
      <c r="I57" s="21" t="n">
        <f aca="false">$F57-$G57-$H57</f>
        <v>-816.06077625</v>
      </c>
      <c r="J57" s="22" t="n">
        <f aca="false">IF($D57=0,"N/A",$I57/$D57)</f>
        <v>-5.32390743256071E-005</v>
      </c>
    </row>
    <row r="58" customFormat="false" ht="15" hidden="false" customHeight="false" outlineLevel="0" collapsed="false">
      <c r="A58" s="0" t="s">
        <v>126</v>
      </c>
      <c r="B58" s="20" t="n">
        <f aca="false">SUMIF('Daily Trade Summary'!$A:$A,$A58,'Daily Trade Summary'!$B:$B)</f>
        <v>20500</v>
      </c>
      <c r="C58" s="20" t="n">
        <f aca="false">SUMIF('Daily Trade Summary'!$A:$A,$A58,'Daily Trade Summary'!$E:$E)</f>
        <v>20500</v>
      </c>
      <c r="D58" s="21" t="n">
        <f aca="false">SUMIF('Daily Trade Summary'!$A:$A,$A58,'Daily Trade Summary'!$C:$C)</f>
        <v>3546025</v>
      </c>
      <c r="E58" s="21" t="n">
        <f aca="false">SUMIF('Daily Trade Summary'!$A:$A,$A58,'Daily Trade Summary'!$F:$F)</f>
        <v>3545875</v>
      </c>
      <c r="F58" s="21" t="n">
        <f aca="false">$E58-$D58</f>
        <v>-150</v>
      </c>
      <c r="G58" s="21" t="n">
        <f aca="false">SUMIF('Daily Trade Summary'!$A:$A,$A58,'Daily Trade Summary'!$L:$L)</f>
        <v>1152.409375</v>
      </c>
      <c r="H58" s="21" t="n">
        <f aca="false">$G58*SST_Rate</f>
        <v>149.81321875</v>
      </c>
      <c r="I58" s="21" t="n">
        <f aca="false">$F58-$G58-$H58</f>
        <v>-1452.22259375</v>
      </c>
      <c r="J58" s="22" t="n">
        <f aca="false">IF($D58=0,"N/A",$I58/$D58)</f>
        <v>-0.000409535351203108</v>
      </c>
    </row>
    <row r="59" customFormat="false" ht="15" hidden="false" customHeight="false" outlineLevel="0" collapsed="false">
      <c r="A59" s="0" t="s">
        <v>127</v>
      </c>
      <c r="B59" s="20" t="n">
        <f aca="false">SUMIF('Daily Trade Summary'!$A:$A,$A59,'Daily Trade Summary'!$B:$B)</f>
        <v>7500</v>
      </c>
      <c r="C59" s="20" t="n">
        <f aca="false">SUMIF('Daily Trade Summary'!$A:$A,$A59,'Daily Trade Summary'!$E:$E)</f>
        <v>7500</v>
      </c>
      <c r="D59" s="21" t="n">
        <f aca="false">SUMIF('Daily Trade Summary'!$A:$A,$A59,'Daily Trade Summary'!$C:$C)</f>
        <v>1564830</v>
      </c>
      <c r="E59" s="21" t="n">
        <f aca="false">SUMIF('Daily Trade Summary'!$A:$A,$A59,'Daily Trade Summary'!$F:$F)</f>
        <v>1563750</v>
      </c>
      <c r="F59" s="21" t="n">
        <f aca="false">$E59-$D59</f>
        <v>-1080</v>
      </c>
      <c r="G59" s="21" t="n">
        <f aca="false">SUMIF('Daily Trade Summary'!$A:$A,$A59,'Daily Trade Summary'!$L:$L)</f>
        <v>508.21875</v>
      </c>
      <c r="H59" s="21" t="n">
        <f aca="false">$G59*SST_Rate</f>
        <v>66.0684375</v>
      </c>
      <c r="I59" s="21" t="n">
        <f aca="false">$F59-$G59-$H59</f>
        <v>-1654.2871875</v>
      </c>
      <c r="J59" s="22" t="n">
        <f aca="false">IF($D59=0,"N/A",$I59/$D59)</f>
        <v>-0.00105716735204463</v>
      </c>
    </row>
    <row r="60" customFormat="false" ht="15" hidden="false" customHeight="false" outlineLevel="0" collapsed="false">
      <c r="A60" s="0" t="s">
        <v>128</v>
      </c>
      <c r="B60" s="20" t="n">
        <f aca="false">SUMIF('Daily Trade Summary'!$A:$A,$A60,'Daily Trade Summary'!$B:$B)</f>
        <v>3000</v>
      </c>
      <c r="C60" s="20" t="n">
        <f aca="false">SUMIF('Daily Trade Summary'!$A:$A,$A60,'Daily Trade Summary'!$E:$E)</f>
        <v>3000</v>
      </c>
      <c r="D60" s="21" t="n">
        <f aca="false">SUMIF('Daily Trade Summary'!$A:$A,$A60,'Daily Trade Summary'!$C:$C)</f>
        <v>1636990</v>
      </c>
      <c r="E60" s="21" t="n">
        <f aca="false">SUMIF('Daily Trade Summary'!$A:$A,$A60,'Daily Trade Summary'!$F:$F)</f>
        <v>1635010</v>
      </c>
      <c r="F60" s="21" t="n">
        <f aca="false">$E60-$D60</f>
        <v>-1980</v>
      </c>
      <c r="G60" s="21" t="n">
        <f aca="false">SUMIF('Daily Trade Summary'!$A:$A,$A60,'Daily Trade Summary'!$L:$L)</f>
        <v>531.37825</v>
      </c>
      <c r="H60" s="21" t="n">
        <f aca="false">$G60*SST_Rate</f>
        <v>69.0791725</v>
      </c>
      <c r="I60" s="21" t="n">
        <f aca="false">$F60-$G60-$H60</f>
        <v>-2580.4574225</v>
      </c>
      <c r="J60" s="22" t="n">
        <f aca="false">IF($D60=0,"N/A",$I60/$D60)</f>
        <v>-0.00157634281363967</v>
      </c>
    </row>
    <row r="61" customFormat="false" ht="15" hidden="false" customHeight="false" outlineLevel="0" collapsed="false">
      <c r="A61" s="41" t="s">
        <v>129</v>
      </c>
      <c r="B61" s="42" t="n">
        <f aca="false">SUMIF('Daily Trade Summary'!$A:$A,$A61,'Daily Trade Summary'!$B:$B)</f>
        <v>12000</v>
      </c>
      <c r="C61" s="42" t="n">
        <f aca="false">SUMIF('Daily Trade Summary'!$A:$A,$A61,'Daily Trade Summary'!$E:$E)</f>
        <v>12000</v>
      </c>
      <c r="D61" s="43" t="n">
        <f aca="false">SUMIF('Daily Trade Summary'!$A:$A,$A61,'Daily Trade Summary'!$C:$C)</f>
        <v>3729680</v>
      </c>
      <c r="E61" s="43" t="n">
        <f aca="false">SUMIF('Daily Trade Summary'!$A:$A,$A61,'Daily Trade Summary'!$F:$F)</f>
        <v>3727865</v>
      </c>
      <c r="F61" s="43" t="n">
        <f aca="false">$E61-$D61</f>
        <v>-1815</v>
      </c>
      <c r="G61" s="43" t="n">
        <f aca="false">SUMIF('Daily Trade Summary'!$A:$A,$A61,'Daily Trade Summary'!$L:$L)</f>
        <v>1211.556125</v>
      </c>
      <c r="H61" s="43" t="n">
        <f aca="false">$G61*SST_Rate</f>
        <v>157.50229625</v>
      </c>
      <c r="I61" s="43" t="n">
        <f aca="false">$F61-$G61-$H61</f>
        <v>-3184.05842125</v>
      </c>
      <c r="J61" s="44" t="n">
        <f aca="false">IF($D61=0,"N/A",$I61/$D61)</f>
        <v>-0.000853708205864846</v>
      </c>
      <c r="K61" s="45" t="s">
        <v>130</v>
      </c>
    </row>
    <row r="62" customFormat="false" ht="15" hidden="false" customHeight="false" outlineLevel="0" collapsed="false">
      <c r="A62" s="34" t="s">
        <v>42</v>
      </c>
      <c r="B62" s="24" t="n">
        <f aca="false">SUM(B5:B61)</f>
        <v>2612821</v>
      </c>
      <c r="C62" s="24" t="n">
        <f aca="false">SUM(C5:C61)</f>
        <v>2612821</v>
      </c>
      <c r="D62" s="25" t="n">
        <f aca="false">SUM(D5:D61)</f>
        <v>403231367.88</v>
      </c>
      <c r="E62" s="25" t="n">
        <f aca="false">SUM(E5:E61)</f>
        <v>403570742.02</v>
      </c>
      <c r="F62" s="25" t="n">
        <f aca="false">SUM(F5:F61)</f>
        <v>339374.140000001</v>
      </c>
      <c r="G62" s="25" t="n">
        <f aca="false">SUM(G5:G61)</f>
        <v>129301.3531565</v>
      </c>
      <c r="H62" s="25" t="n">
        <f aca="false">SUM(H5:H61)</f>
        <v>16809.175910345</v>
      </c>
      <c r="I62" s="25" t="n">
        <f aca="false">SUM(I5:I61)</f>
        <v>193263.610933156</v>
      </c>
      <c r="J62" s="26" t="n">
        <f aca="false">IF($D62=0,"N/A",$I62/$D62)</f>
        <v>0.000479287144621821</v>
      </c>
    </row>
  </sheetData>
  <autoFilter ref="A4:J61"/>
  <conditionalFormatting sqref="F5:J62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P8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21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5" min="14" style="0" width="14"/>
    <col collapsed="false" customWidth="true" hidden="false" outlineLevel="0" max="16" min="16" style="0" width="11"/>
  </cols>
  <sheetData>
    <row r="1" customFormat="false" ht="30" hidden="false" customHeight="true" outlineLevel="0" collapsed="false">
      <c r="A1" s="46" t="s">
        <v>131</v>
      </c>
      <c r="B1" s="18" t="s">
        <v>33</v>
      </c>
      <c r="C1" s="18" t="s">
        <v>36</v>
      </c>
      <c r="D1" s="18" t="s">
        <v>60</v>
      </c>
      <c r="E1" s="18" t="s">
        <v>34</v>
      </c>
      <c r="F1" s="18" t="s">
        <v>37</v>
      </c>
      <c r="G1" s="18" t="s">
        <v>61</v>
      </c>
      <c r="H1" s="18" t="s">
        <v>62</v>
      </c>
      <c r="I1" s="18" t="s">
        <v>35</v>
      </c>
      <c r="J1" s="18" t="s">
        <v>38</v>
      </c>
      <c r="K1" s="18" t="s">
        <v>63</v>
      </c>
      <c r="L1" s="18" t="s">
        <v>39</v>
      </c>
      <c r="M1" s="18" t="s">
        <v>64</v>
      </c>
      <c r="N1" s="18" t="s">
        <v>41</v>
      </c>
      <c r="O1" s="18" t="s">
        <v>7</v>
      </c>
      <c r="P1" s="18" t="s">
        <v>8</v>
      </c>
    </row>
    <row r="2" customFormat="false" ht="15" hidden="false" customHeight="false" outlineLevel="0" collapsed="false">
      <c r="A2" s="2" t="s">
        <v>132</v>
      </c>
      <c r="D2" s="31" t="s">
        <v>133</v>
      </c>
    </row>
    <row r="3" customFormat="false" ht="15" hidden="false" customHeight="false" outlineLevel="0" collapsed="false">
      <c r="A3" s="3" t="s">
        <v>134</v>
      </c>
      <c r="B3" s="27" t="n">
        <v>46251</v>
      </c>
      <c r="D3" s="3" t="s">
        <v>135</v>
      </c>
      <c r="E3" s="47" t="n">
        <f aca="false">C21</f>
        <v>18267720</v>
      </c>
    </row>
    <row r="4" customFormat="false" ht="15" hidden="false" customHeight="false" outlineLevel="0" collapsed="false">
      <c r="A4" s="3" t="s">
        <v>136</v>
      </c>
      <c r="B4" s="28" t="s">
        <v>137</v>
      </c>
      <c r="D4" s="3" t="s">
        <v>138</v>
      </c>
      <c r="E4" s="47" t="n">
        <f aca="false">F21</f>
        <v>18287930</v>
      </c>
    </row>
    <row r="5" customFormat="false" ht="15" hidden="false" customHeight="false" outlineLevel="0" collapsed="false">
      <c r="A5" s="3" t="s">
        <v>139</v>
      </c>
      <c r="B5" s="28" t="s">
        <v>140</v>
      </c>
      <c r="D5" s="3" t="s">
        <v>11</v>
      </c>
      <c r="E5" s="47" t="n">
        <f aca="false">J21</f>
        <v>20210</v>
      </c>
    </row>
    <row r="6" customFormat="false" ht="15" hidden="false" customHeight="false" outlineLevel="0" collapsed="false">
      <c r="A6" s="3" t="s">
        <v>141</v>
      </c>
      <c r="B6" s="28" t="s">
        <v>142</v>
      </c>
      <c r="D6" s="3" t="s">
        <v>13</v>
      </c>
      <c r="E6" s="47" t="n">
        <f aca="false">L21</f>
        <v>5943.57725</v>
      </c>
    </row>
    <row r="7" customFormat="false" ht="15" hidden="false" customHeight="false" outlineLevel="0" collapsed="false">
      <c r="A7" s="3" t="s">
        <v>143</v>
      </c>
      <c r="B7" s="28" t="s">
        <v>144</v>
      </c>
      <c r="D7" s="3" t="s">
        <v>15</v>
      </c>
      <c r="E7" s="47" t="n">
        <f aca="false">M21</f>
        <v>772.6650425</v>
      </c>
    </row>
    <row r="8" customFormat="false" ht="15" hidden="false" customHeight="false" outlineLevel="0" collapsed="false">
      <c r="A8" s="3" t="s">
        <v>145</v>
      </c>
      <c r="B8" s="28" t="s">
        <v>146</v>
      </c>
      <c r="D8" s="3" t="s">
        <v>147</v>
      </c>
      <c r="E8" s="47" t="n">
        <f aca="false">N21</f>
        <v>6716.2422925</v>
      </c>
    </row>
    <row r="9" customFormat="false" ht="15" hidden="false" customHeight="false" outlineLevel="0" collapsed="false">
      <c r="D9" s="3" t="s">
        <v>16</v>
      </c>
      <c r="E9" s="47" t="n">
        <f aca="false">O21</f>
        <v>13493.7577075</v>
      </c>
    </row>
    <row r="10" customFormat="false" ht="15" hidden="false" customHeight="false" outlineLevel="0" collapsed="false">
      <c r="D10" s="3" t="s">
        <v>8</v>
      </c>
      <c r="E10" s="48" t="n">
        <f aca="false">P21</f>
        <v>0.000738666768896173</v>
      </c>
    </row>
    <row r="11" customFormat="false" ht="15" hidden="false" customHeight="false" outlineLevel="0" collapsed="false">
      <c r="D11" s="3" t="s">
        <v>148</v>
      </c>
      <c r="E11" s="49" t="n">
        <f aca="false">I21</f>
        <v>0</v>
      </c>
    </row>
    <row r="12" customFormat="false" ht="15" hidden="false" customHeight="false" outlineLevel="0" collapsed="false">
      <c r="A12" s="31" t="s">
        <v>149</v>
      </c>
    </row>
    <row r="13" customFormat="false" ht="30" hidden="false" customHeight="true" outlineLevel="0" collapsed="false">
      <c r="A13" s="18" t="s">
        <v>71</v>
      </c>
      <c r="B13" s="18" t="s">
        <v>33</v>
      </c>
      <c r="C13" s="18" t="s">
        <v>36</v>
      </c>
      <c r="D13" s="18" t="s">
        <v>60</v>
      </c>
      <c r="E13" s="18" t="s">
        <v>34</v>
      </c>
      <c r="F13" s="18" t="s">
        <v>37</v>
      </c>
      <c r="G13" s="18" t="s">
        <v>61</v>
      </c>
      <c r="H13" s="18" t="s">
        <v>62</v>
      </c>
      <c r="I13" s="18" t="s">
        <v>35</v>
      </c>
      <c r="J13" s="18" t="s">
        <v>38</v>
      </c>
      <c r="K13" s="18" t="s">
        <v>63</v>
      </c>
      <c r="L13" s="18" t="s">
        <v>39</v>
      </c>
      <c r="M13" s="18" t="s">
        <v>64</v>
      </c>
      <c r="N13" s="18" t="s">
        <v>41</v>
      </c>
      <c r="O13" s="18" t="s">
        <v>7</v>
      </c>
      <c r="P13" s="18" t="s">
        <v>8</v>
      </c>
    </row>
    <row r="14" customFormat="false" ht="15" hidden="false" customHeight="false" outlineLevel="0" collapsed="false">
      <c r="A14" s="6" t="s">
        <v>110</v>
      </c>
      <c r="B14" s="33" t="n">
        <v>1000</v>
      </c>
      <c r="C14" s="33" t="n">
        <v>151790</v>
      </c>
      <c r="D14" s="9" t="n">
        <f aca="false">IF($B14=0,"",$C14/$B14)</f>
        <v>151.79</v>
      </c>
      <c r="E14" s="33" t="n">
        <v>1000</v>
      </c>
      <c r="F14" s="6" t="n">
        <v>151970</v>
      </c>
      <c r="G14" s="9" t="n">
        <f aca="false">IF($E14=0,"",$F14/$E14)</f>
        <v>151.97</v>
      </c>
      <c r="H14" s="9" t="n">
        <f aca="false">IF(OR($B14=0,$E14=0),"N/A",$G14-$D14)</f>
        <v>0.180000000000007</v>
      </c>
      <c r="I14" s="33" t="n">
        <f aca="false">$B14-$E14</f>
        <v>0</v>
      </c>
      <c r="J14" s="9" t="n">
        <f aca="false">$F14-$C14</f>
        <v>180</v>
      </c>
      <c r="K14" s="6" t="str">
        <f aca="false">IF($E14=0,"—",IF($G14&gt;=Comm_Slab2_Start,"0.0325% of sell value","0.0175 paisa per share"))</f>
        <v>0.0325% of sell value</v>
      </c>
      <c r="L14" s="9" t="n">
        <f aca="false">IF($E14=0,0,IF($G14&gt;=Comm_Slab2_Start,$F14*Comm_Slab2_Rate,$E14*Comm_Slab1_Paisa/Paisa_Per_PKR))</f>
        <v>49.39025</v>
      </c>
      <c r="M14" s="9" t="n">
        <f aca="false">$L14*SST_Rate</f>
        <v>6.4207325</v>
      </c>
      <c r="N14" s="9" t="n">
        <f aca="false">$L14+$M14</f>
        <v>55.8109825</v>
      </c>
      <c r="O14" s="9" t="n">
        <f aca="false">$J14-$N14</f>
        <v>124.1890175</v>
      </c>
      <c r="P14" s="10" t="n">
        <f aca="false">IF($C14=0,"N/A",$O14/$C14)</f>
        <v>0.000818163367151986</v>
      </c>
    </row>
    <row r="15" customFormat="false" ht="15" hidden="false" customHeight="false" outlineLevel="0" collapsed="false">
      <c r="A15" s="6" t="s">
        <v>76</v>
      </c>
      <c r="B15" s="33" t="n">
        <v>7000</v>
      </c>
      <c r="C15" s="33" t="n">
        <v>3650535</v>
      </c>
      <c r="D15" s="9" t="n">
        <f aca="false">IF($B15=0,"",$C15/$B15)</f>
        <v>521.505</v>
      </c>
      <c r="E15" s="33" t="n">
        <v>7000</v>
      </c>
      <c r="F15" s="6" t="n">
        <v>3658210</v>
      </c>
      <c r="G15" s="9" t="n">
        <f aca="false">IF($E15=0,"",$F15/$E15)</f>
        <v>522.601428571429</v>
      </c>
      <c r="H15" s="9" t="n">
        <f aca="false">IF(OR($B15=0,$E15=0),"N/A",$G15-$D15)</f>
        <v>1.09642857142853</v>
      </c>
      <c r="I15" s="33" t="n">
        <f aca="false">$B15-$E15</f>
        <v>0</v>
      </c>
      <c r="J15" s="9" t="n">
        <f aca="false">$F15-$C15</f>
        <v>7675</v>
      </c>
      <c r="K15" s="6" t="str">
        <f aca="false">IF($E15=0,"—",IF($G15&gt;=Comm_Slab2_Start,"0.0325% of sell value","0.0175 paisa per share"))</f>
        <v>0.0325% of sell value</v>
      </c>
      <c r="L15" s="9" t="n">
        <f aca="false">IF($E15=0,0,IF($G15&gt;=Comm_Slab2_Start,$F15*Comm_Slab2_Rate,$E15*Comm_Slab1_Paisa/Paisa_Per_PKR))</f>
        <v>1188.91825</v>
      </c>
      <c r="M15" s="9" t="n">
        <f aca="false">$L15*SST_Rate</f>
        <v>154.5593725</v>
      </c>
      <c r="N15" s="9" t="n">
        <f aca="false">$L15+$M15</f>
        <v>1343.4776225</v>
      </c>
      <c r="O15" s="9" t="n">
        <f aca="false">$J15-$N15</f>
        <v>6331.5223775</v>
      </c>
      <c r="P15" s="10" t="n">
        <f aca="false">IF($C15=0,"N/A",$O15/$C15)</f>
        <v>0.00173440944341035</v>
      </c>
    </row>
    <row r="16" customFormat="false" ht="15" hidden="false" customHeight="false" outlineLevel="0" collapsed="false">
      <c r="A16" s="6" t="s">
        <v>124</v>
      </c>
      <c r="B16" s="33" t="n">
        <v>6500</v>
      </c>
      <c r="C16" s="33" t="n">
        <v>2113320</v>
      </c>
      <c r="D16" s="9" t="n">
        <f aca="false">IF($B16=0,"",$C16/$B16)</f>
        <v>325.126153846154</v>
      </c>
      <c r="E16" s="33" t="n">
        <v>6500</v>
      </c>
      <c r="F16" s="6" t="n">
        <v>2111350</v>
      </c>
      <c r="G16" s="9" t="n">
        <f aca="false">IF($E16=0,"",$F16/$E16)</f>
        <v>324.823076923077</v>
      </c>
      <c r="H16" s="9" t="n">
        <f aca="false">IF(OR($B16=0,$E16=0),"N/A",$G16-$D16)</f>
        <v>-0.303076923076901</v>
      </c>
      <c r="I16" s="33" t="n">
        <f aca="false">$B16-$E16</f>
        <v>0</v>
      </c>
      <c r="J16" s="9" t="n">
        <f aca="false">$F16-$C16</f>
        <v>-1970</v>
      </c>
      <c r="K16" s="6" t="str">
        <f aca="false">IF($E16=0,"—",IF($G16&gt;=Comm_Slab2_Start,"0.0325% of sell value","0.0175 paisa per share"))</f>
        <v>0.0325% of sell value</v>
      </c>
      <c r="L16" s="9" t="n">
        <f aca="false">IF($E16=0,0,IF($G16&gt;=Comm_Slab2_Start,$F16*Comm_Slab2_Rate,$E16*Comm_Slab1_Paisa/Paisa_Per_PKR))</f>
        <v>686.18875</v>
      </c>
      <c r="M16" s="9" t="n">
        <f aca="false">$L16*SST_Rate</f>
        <v>89.2045375</v>
      </c>
      <c r="N16" s="9" t="n">
        <f aca="false">$L16+$M16</f>
        <v>775.3932875</v>
      </c>
      <c r="O16" s="9" t="n">
        <f aca="false">$J16-$N16</f>
        <v>-2745.3932875</v>
      </c>
      <c r="P16" s="10" t="n">
        <f aca="false">IF($C16=0,"N/A",$O16/$C16)</f>
        <v>-0.00129909019339239</v>
      </c>
    </row>
    <row r="17" customFormat="false" ht="15" hidden="false" customHeight="false" outlineLevel="0" collapsed="false">
      <c r="A17" s="6" t="s">
        <v>77</v>
      </c>
      <c r="B17" s="33" t="n">
        <v>5000</v>
      </c>
      <c r="C17" s="33" t="n">
        <v>1192745</v>
      </c>
      <c r="D17" s="9" t="n">
        <f aca="false">IF($B17=0,"",$C17/$B17)</f>
        <v>238.549</v>
      </c>
      <c r="E17" s="33" t="n">
        <v>5000</v>
      </c>
      <c r="F17" s="6" t="n">
        <v>1190925</v>
      </c>
      <c r="G17" s="9" t="n">
        <f aca="false">IF($E17=0,"",$F17/$E17)</f>
        <v>238.185</v>
      </c>
      <c r="H17" s="9" t="n">
        <f aca="false">IF(OR($B17=0,$E17=0),"N/A",$G17-$D17)</f>
        <v>-0.364000000000004</v>
      </c>
      <c r="I17" s="33" t="n">
        <f aca="false">$B17-$E17</f>
        <v>0</v>
      </c>
      <c r="J17" s="9" t="n">
        <f aca="false">$F17-$C17</f>
        <v>-1820</v>
      </c>
      <c r="K17" s="6" t="str">
        <f aca="false">IF($E17=0,"—",IF($G17&gt;=Comm_Slab2_Start,"0.0325% of sell value","0.0175 paisa per share"))</f>
        <v>0.0325% of sell value</v>
      </c>
      <c r="L17" s="9" t="n">
        <f aca="false">IF($E17=0,0,IF($G17&gt;=Comm_Slab2_Start,$F17*Comm_Slab2_Rate,$E17*Comm_Slab1_Paisa/Paisa_Per_PKR))</f>
        <v>387.050625</v>
      </c>
      <c r="M17" s="9" t="n">
        <f aca="false">$L17*SST_Rate</f>
        <v>50.31658125</v>
      </c>
      <c r="N17" s="9" t="n">
        <f aca="false">$L17+$M17</f>
        <v>437.36720625</v>
      </c>
      <c r="O17" s="9" t="n">
        <f aca="false">$J17-$N17</f>
        <v>-2257.36720625</v>
      </c>
      <c r="P17" s="10" t="n">
        <f aca="false">IF($C17=0,"N/A",$O17/$C17)</f>
        <v>-0.00189258157129143</v>
      </c>
    </row>
    <row r="18" customFormat="false" ht="15" hidden="false" customHeight="false" outlineLevel="0" collapsed="false">
      <c r="A18" s="6" t="s">
        <v>72</v>
      </c>
      <c r="B18" s="33" t="n">
        <v>26000</v>
      </c>
      <c r="C18" s="33" t="n">
        <v>2058660</v>
      </c>
      <c r="D18" s="9" t="n">
        <f aca="false">IF($B18=0,"",$C18/$B18)</f>
        <v>79.1792307692308</v>
      </c>
      <c r="E18" s="33" t="n">
        <v>26000</v>
      </c>
      <c r="F18" s="6" t="n">
        <v>2071730</v>
      </c>
      <c r="G18" s="9" t="n">
        <f aca="false">IF($E18=0,"",$F18/$E18)</f>
        <v>79.6819230769231</v>
      </c>
      <c r="H18" s="9" t="n">
        <f aca="false">IF(OR($B18=0,$E18=0),"N/A",$G18-$D18)</f>
        <v>0.5026923076923</v>
      </c>
      <c r="I18" s="33" t="n">
        <f aca="false">$B18-$E18</f>
        <v>0</v>
      </c>
      <c r="J18" s="9" t="n">
        <f aca="false">$F18-$C18</f>
        <v>13070</v>
      </c>
      <c r="K18" s="6" t="str">
        <f aca="false">IF($E18=0,"—",IF($G18&gt;=Comm_Slab2_Start,"0.0325% of sell value","0.0175 paisa per share"))</f>
        <v>0.0325% of sell value</v>
      </c>
      <c r="L18" s="9" t="n">
        <f aca="false">IF($E18=0,0,IF($G18&gt;=Comm_Slab2_Start,$F18*Comm_Slab2_Rate,$E18*Comm_Slab1_Paisa/Paisa_Per_PKR))</f>
        <v>673.31225</v>
      </c>
      <c r="M18" s="9" t="n">
        <f aca="false">$L18*SST_Rate</f>
        <v>87.5305925</v>
      </c>
      <c r="N18" s="9" t="n">
        <f aca="false">$L18+$M18</f>
        <v>760.8428425</v>
      </c>
      <c r="O18" s="9" t="n">
        <f aca="false">$J18-$N18</f>
        <v>12309.1571575</v>
      </c>
      <c r="P18" s="10" t="n">
        <f aca="false">IF($C18=0,"N/A",$O18/$C18)</f>
        <v>0.00597920839648121</v>
      </c>
    </row>
    <row r="19" customFormat="false" ht="15" hidden="false" customHeight="false" outlineLevel="0" collapsed="false">
      <c r="A19" s="6" t="s">
        <v>74</v>
      </c>
      <c r="B19" s="33" t="n">
        <v>500</v>
      </c>
      <c r="C19" s="33" t="n">
        <v>42925</v>
      </c>
      <c r="D19" s="9" t="n">
        <f aca="false">IF($B19=0,"",$C19/$B19)</f>
        <v>85.85</v>
      </c>
      <c r="E19" s="33" t="n">
        <v>500</v>
      </c>
      <c r="F19" s="6" t="n">
        <v>42760</v>
      </c>
      <c r="G19" s="9" t="n">
        <f aca="false">IF($E19=0,"",$F19/$E19)</f>
        <v>85.52</v>
      </c>
      <c r="H19" s="9" t="n">
        <f aca="false">IF(OR($B19=0,$E19=0),"N/A",$G19-$D19)</f>
        <v>-0.329999999999998</v>
      </c>
      <c r="I19" s="33" t="n">
        <f aca="false">$B19-$E19</f>
        <v>0</v>
      </c>
      <c r="J19" s="9" t="n">
        <f aca="false">$F19-$C19</f>
        <v>-165</v>
      </c>
      <c r="K19" s="6" t="str">
        <f aca="false">IF($E19=0,"—",IF($G19&gt;=Comm_Slab2_Start,"0.0325% of sell value","0.0175 paisa per share"))</f>
        <v>0.0325% of sell value</v>
      </c>
      <c r="L19" s="9" t="n">
        <f aca="false">IF($E19=0,0,IF($G19&gt;=Comm_Slab2_Start,$F19*Comm_Slab2_Rate,$E19*Comm_Slab1_Paisa/Paisa_Per_PKR))</f>
        <v>13.897</v>
      </c>
      <c r="M19" s="9" t="n">
        <f aca="false">$L19*SST_Rate</f>
        <v>1.80661</v>
      </c>
      <c r="N19" s="9" t="n">
        <f aca="false">$L19+$M19</f>
        <v>15.70361</v>
      </c>
      <c r="O19" s="9" t="n">
        <f aca="false">$J19-$N19</f>
        <v>-180.70361</v>
      </c>
      <c r="P19" s="10" t="n">
        <f aca="false">IF($C19=0,"N/A",$O19/$C19)</f>
        <v>-0.00420975212580082</v>
      </c>
    </row>
    <row r="20" customFormat="false" ht="15" hidden="false" customHeight="false" outlineLevel="0" collapsed="false">
      <c r="A20" s="6" t="s">
        <v>107</v>
      </c>
      <c r="B20" s="33" t="n">
        <v>24500</v>
      </c>
      <c r="C20" s="33" t="n">
        <v>9057745</v>
      </c>
      <c r="D20" s="9" t="n">
        <f aca="false">IF($B20=0,"",$C20/$B20)</f>
        <v>369.70387755102</v>
      </c>
      <c r="E20" s="33" t="n">
        <v>24500</v>
      </c>
      <c r="F20" s="6" t="n">
        <v>9060985</v>
      </c>
      <c r="G20" s="9" t="n">
        <f aca="false">IF($E20=0,"",$F20/$E20)</f>
        <v>369.83612244898</v>
      </c>
      <c r="H20" s="9" t="n">
        <f aca="false">IF(OR($B20=0,$E20=0),"N/A",$G20-$D20)</f>
        <v>0.132244897959197</v>
      </c>
      <c r="I20" s="33" t="n">
        <f aca="false">$B20-$E20</f>
        <v>0</v>
      </c>
      <c r="J20" s="9" t="n">
        <f aca="false">$F20-$C20</f>
        <v>3240</v>
      </c>
      <c r="K20" s="6" t="str">
        <f aca="false">IF($E20=0,"—",IF($G20&gt;=Comm_Slab2_Start,"0.0325% of sell value","0.0175 paisa per share"))</f>
        <v>0.0325% of sell value</v>
      </c>
      <c r="L20" s="9" t="n">
        <f aca="false">IF($E20=0,0,IF($G20&gt;=Comm_Slab2_Start,$F20*Comm_Slab2_Rate,$E20*Comm_Slab1_Paisa/Paisa_Per_PKR))</f>
        <v>2944.820125</v>
      </c>
      <c r="M20" s="9" t="n">
        <f aca="false">$L20*SST_Rate</f>
        <v>382.82661625</v>
      </c>
      <c r="N20" s="9" t="n">
        <f aca="false">$L20+$M20</f>
        <v>3327.64674125</v>
      </c>
      <c r="O20" s="9" t="n">
        <f aca="false">$J20-$N20</f>
        <v>-87.6467412499997</v>
      </c>
      <c r="P20" s="10" t="n">
        <f aca="false">IF($C20=0,"N/A",$O20/$C20)</f>
        <v>-9.67644168057278E-006</v>
      </c>
    </row>
    <row r="21" customFormat="false" ht="15" hidden="false" customHeight="false" outlineLevel="0" collapsed="false">
      <c r="A21" s="29" t="s">
        <v>42</v>
      </c>
      <c r="B21" s="50" t="n">
        <f aca="false">SUM(B14:B20)</f>
        <v>70500</v>
      </c>
      <c r="C21" s="50" t="n">
        <f aca="false">SUM(C14:C20)</f>
        <v>18267720</v>
      </c>
      <c r="D21" s="51" t="n">
        <f aca="false">IF($B21=0,"",$C21/$B21)</f>
        <v>259.116595744681</v>
      </c>
      <c r="E21" s="50" t="n">
        <f aca="false">SUM(E14:E20)</f>
        <v>70500</v>
      </c>
      <c r="F21" s="29" t="n">
        <f aca="false">SUM(F14:F20)</f>
        <v>18287930</v>
      </c>
      <c r="G21" s="51" t="n">
        <f aca="false">IF($E21=0,"",$F21/$E21)</f>
        <v>259.403262411348</v>
      </c>
      <c r="H21" s="51" t="n">
        <f aca="false">IF(OR($B21=0,$E21=0),"N/A",$G21-$D21)</f>
        <v>0.286666666666633</v>
      </c>
      <c r="I21" s="50" t="n">
        <f aca="false">$B21-$E21</f>
        <v>0</v>
      </c>
      <c r="J21" s="51" t="n">
        <f aca="false">SUM(J14:J20)</f>
        <v>20210</v>
      </c>
      <c r="K21" s="29"/>
      <c r="L21" s="51" t="n">
        <f aca="false">SUM(L14:L20)</f>
        <v>5943.57725</v>
      </c>
      <c r="M21" s="51" t="n">
        <f aca="false">SUM(M14:M20)</f>
        <v>772.6650425</v>
      </c>
      <c r="N21" s="51" t="n">
        <f aca="false">$L21+$M21</f>
        <v>6716.2422925</v>
      </c>
      <c r="O21" s="51" t="n">
        <f aca="false">SUM(O14:O20)</f>
        <v>13493.7577075</v>
      </c>
      <c r="P21" s="52" t="n">
        <f aca="false">IF($C21=0,"N/A",$O21/$C21)</f>
        <v>0.000738666768896173</v>
      </c>
    </row>
    <row r="24" customFormat="false" ht="19.7" hidden="false" customHeight="false" outlineLevel="0" collapsed="false">
      <c r="A24" s="1" t="s">
        <v>150</v>
      </c>
    </row>
    <row r="25" customFormat="false" ht="15" hidden="false" customHeight="false" outlineLevel="0" collapsed="false">
      <c r="A25" s="2" t="s">
        <v>132</v>
      </c>
      <c r="D25" s="31" t="s">
        <v>133</v>
      </c>
    </row>
    <row r="26" customFormat="false" ht="15" hidden="false" customHeight="false" outlineLevel="0" collapsed="false">
      <c r="A26" s="3" t="s">
        <v>134</v>
      </c>
      <c r="B26" s="27" t="n">
        <v>46252</v>
      </c>
      <c r="D26" s="3" t="s">
        <v>135</v>
      </c>
      <c r="E26" s="47" t="n">
        <f aca="false">C47</f>
        <v>21984905</v>
      </c>
    </row>
    <row r="27" customFormat="false" ht="15" hidden="false" customHeight="false" outlineLevel="0" collapsed="false">
      <c r="A27" s="3" t="s">
        <v>136</v>
      </c>
      <c r="B27" s="28" t="s">
        <v>137</v>
      </c>
      <c r="D27" s="3" t="s">
        <v>138</v>
      </c>
      <c r="E27" s="47" t="n">
        <f aca="false">F47</f>
        <v>22001335</v>
      </c>
    </row>
    <row r="28" customFormat="false" ht="15" hidden="false" customHeight="false" outlineLevel="0" collapsed="false">
      <c r="A28" s="3" t="s">
        <v>139</v>
      </c>
      <c r="B28" s="28" t="s">
        <v>151</v>
      </c>
      <c r="D28" s="3" t="s">
        <v>11</v>
      </c>
      <c r="E28" s="47" t="n">
        <f aca="false">J47</f>
        <v>16430</v>
      </c>
    </row>
    <row r="29" customFormat="false" ht="15" hidden="false" customHeight="false" outlineLevel="0" collapsed="false">
      <c r="A29" s="3" t="s">
        <v>141</v>
      </c>
      <c r="B29" s="28" t="s">
        <v>142</v>
      </c>
      <c r="D29" s="3" t="s">
        <v>13</v>
      </c>
      <c r="E29" s="47" t="n">
        <f aca="false">L47</f>
        <v>6920.371375</v>
      </c>
    </row>
    <row r="30" customFormat="false" ht="15" hidden="false" customHeight="false" outlineLevel="0" collapsed="false">
      <c r="A30" s="3" t="s">
        <v>143</v>
      </c>
      <c r="B30" s="28" t="s">
        <v>144</v>
      </c>
      <c r="D30" s="3" t="s">
        <v>15</v>
      </c>
      <c r="E30" s="47" t="n">
        <f aca="false">M47</f>
        <v>899.64827875</v>
      </c>
    </row>
    <row r="31" customFormat="false" ht="15" hidden="false" customHeight="false" outlineLevel="0" collapsed="false">
      <c r="A31" s="3" t="s">
        <v>145</v>
      </c>
      <c r="B31" s="28" t="s">
        <v>152</v>
      </c>
      <c r="D31" s="3" t="s">
        <v>147</v>
      </c>
      <c r="E31" s="47" t="n">
        <f aca="false">N47</f>
        <v>7820.01965375</v>
      </c>
    </row>
    <row r="32" customFormat="false" ht="15" hidden="false" customHeight="false" outlineLevel="0" collapsed="false">
      <c r="D32" s="3" t="s">
        <v>16</v>
      </c>
      <c r="E32" s="47" t="n">
        <f aca="false">O47</f>
        <v>8609.98034625</v>
      </c>
    </row>
    <row r="33" customFormat="false" ht="15" hidden="false" customHeight="false" outlineLevel="0" collapsed="false">
      <c r="D33" s="3" t="s">
        <v>8</v>
      </c>
      <c r="E33" s="48" t="n">
        <f aca="false">P47</f>
        <v>0.000391631455594191</v>
      </c>
    </row>
    <row r="34" customFormat="false" ht="15" hidden="false" customHeight="false" outlineLevel="0" collapsed="false">
      <c r="D34" s="3" t="s">
        <v>148</v>
      </c>
      <c r="E34" s="49" t="n">
        <f aca="false">I47</f>
        <v>0</v>
      </c>
    </row>
    <row r="35" customFormat="false" ht="15" hidden="false" customHeight="false" outlineLevel="0" collapsed="false">
      <c r="A35" s="31" t="s">
        <v>149</v>
      </c>
    </row>
    <row r="36" customFormat="false" ht="30" hidden="false" customHeight="true" outlineLevel="0" collapsed="false">
      <c r="A36" s="18" t="s">
        <v>71</v>
      </c>
      <c r="B36" s="18" t="s">
        <v>33</v>
      </c>
      <c r="C36" s="18" t="s">
        <v>36</v>
      </c>
      <c r="D36" s="18" t="s">
        <v>60</v>
      </c>
      <c r="E36" s="18" t="s">
        <v>34</v>
      </c>
      <c r="F36" s="18" t="s">
        <v>37</v>
      </c>
      <c r="G36" s="18" t="s">
        <v>61</v>
      </c>
      <c r="H36" s="18" t="s">
        <v>62</v>
      </c>
      <c r="I36" s="18" t="s">
        <v>35</v>
      </c>
      <c r="J36" s="18" t="s">
        <v>38</v>
      </c>
      <c r="K36" s="18" t="s">
        <v>63</v>
      </c>
      <c r="L36" s="18" t="s">
        <v>39</v>
      </c>
      <c r="M36" s="18" t="s">
        <v>64</v>
      </c>
      <c r="N36" s="18" t="s">
        <v>41</v>
      </c>
      <c r="O36" s="18" t="s">
        <v>7</v>
      </c>
      <c r="P36" s="18" t="s">
        <v>8</v>
      </c>
    </row>
    <row r="37" customFormat="false" ht="15" hidden="false" customHeight="false" outlineLevel="0" collapsed="false">
      <c r="A37" s="6" t="s">
        <v>112</v>
      </c>
      <c r="B37" s="33" t="n">
        <v>10000</v>
      </c>
      <c r="C37" s="33" t="n">
        <v>350000</v>
      </c>
      <c r="D37" s="9" t="n">
        <f aca="false">IF($B37=0,"",$C37/$B37)</f>
        <v>35</v>
      </c>
      <c r="E37" s="33" t="n">
        <v>10000</v>
      </c>
      <c r="F37" s="6" t="n">
        <v>350025</v>
      </c>
      <c r="G37" s="9" t="n">
        <f aca="false">IF($E37=0,"",$F37/$E37)</f>
        <v>35.0025</v>
      </c>
      <c r="H37" s="9" t="n">
        <f aca="false">IF(OR($B37=0,$E37=0),"N/A",$G37-$D37)</f>
        <v>0.00249999999999773</v>
      </c>
      <c r="I37" s="33" t="n">
        <f aca="false">$B37-$E37</f>
        <v>0</v>
      </c>
      <c r="J37" s="9" t="n">
        <f aca="false">$F37-$C37</f>
        <v>25</v>
      </c>
      <c r="K37" s="6" t="str">
        <f aca="false">IF($E37=0,"—",IF($G37&gt;=Comm_Slab2_Start,"0.0325% of sell value","0.0175 paisa per share"))</f>
        <v>0.0175 paisa per share</v>
      </c>
      <c r="L37" s="9" t="n">
        <f aca="false">IF($E37=0,0,IF($G37&gt;=Comm_Slab2_Start,$F37*Comm_Slab2_Rate,$E37*Comm_Slab1_Paisa/Paisa_Per_PKR))</f>
        <v>1.75</v>
      </c>
      <c r="M37" s="9" t="n">
        <f aca="false">$L37*SST_Rate</f>
        <v>0.2275</v>
      </c>
      <c r="N37" s="9" t="n">
        <f aca="false">$L37+$M37</f>
        <v>1.9775</v>
      </c>
      <c r="O37" s="9" t="n">
        <f aca="false">$J37-$N37</f>
        <v>23.0225</v>
      </c>
      <c r="P37" s="10" t="n">
        <f aca="false">IF($C37=0,"N/A",$O37/$C37)</f>
        <v>6.57785714285714E-005</v>
      </c>
    </row>
    <row r="38" customFormat="false" ht="15" hidden="false" customHeight="false" outlineLevel="0" collapsed="false">
      <c r="A38" s="6" t="s">
        <v>127</v>
      </c>
      <c r="B38" s="33" t="n">
        <v>7500</v>
      </c>
      <c r="C38" s="33" t="n">
        <v>1564830</v>
      </c>
      <c r="D38" s="9" t="n">
        <f aca="false">IF($B38=0,"",$C38/$B38)</f>
        <v>208.644</v>
      </c>
      <c r="E38" s="33" t="n">
        <v>7500</v>
      </c>
      <c r="F38" s="6" t="n">
        <v>1563750</v>
      </c>
      <c r="G38" s="9" t="n">
        <f aca="false">IF($E38=0,"",$F38/$E38)</f>
        <v>208.5</v>
      </c>
      <c r="H38" s="9" t="n">
        <f aca="false">IF(OR($B38=0,$E38=0),"N/A",$G38-$D38)</f>
        <v>-0.144000000000005</v>
      </c>
      <c r="I38" s="33" t="n">
        <f aca="false">$B38-$E38</f>
        <v>0</v>
      </c>
      <c r="J38" s="9" t="n">
        <f aca="false">$F38-$C38</f>
        <v>-1080</v>
      </c>
      <c r="K38" s="6" t="str">
        <f aca="false">IF($E38=0,"—",IF($G38&gt;=Comm_Slab2_Start,"0.0325% of sell value","0.0175 paisa per share"))</f>
        <v>0.0325% of sell value</v>
      </c>
      <c r="L38" s="9" t="n">
        <f aca="false">IF($E38=0,0,IF($G38&gt;=Comm_Slab2_Start,$F38*Comm_Slab2_Rate,$E38*Comm_Slab1_Paisa/Paisa_Per_PKR))</f>
        <v>508.21875</v>
      </c>
      <c r="M38" s="9" t="n">
        <f aca="false">$L38*SST_Rate</f>
        <v>66.0684375</v>
      </c>
      <c r="N38" s="9" t="n">
        <f aca="false">$L38+$M38</f>
        <v>574.2871875</v>
      </c>
      <c r="O38" s="9" t="n">
        <f aca="false">$J38-$N38</f>
        <v>-1654.2871875</v>
      </c>
      <c r="P38" s="10" t="n">
        <f aca="false">IF($C38=0,"N/A",$O38/$C38)</f>
        <v>-0.00105716735204463</v>
      </c>
    </row>
    <row r="39" customFormat="false" ht="15" hidden="false" customHeight="false" outlineLevel="0" collapsed="false">
      <c r="A39" s="6" t="s">
        <v>121</v>
      </c>
      <c r="B39" s="33" t="n">
        <v>1000</v>
      </c>
      <c r="C39" s="33" t="n">
        <v>536000</v>
      </c>
      <c r="D39" s="9" t="n">
        <f aca="false">IF($B39=0,"",$C39/$B39)</f>
        <v>536</v>
      </c>
      <c r="E39" s="33" t="n">
        <v>1000</v>
      </c>
      <c r="F39" s="6" t="n">
        <v>536000</v>
      </c>
      <c r="G39" s="9" t="n">
        <f aca="false">IF($E39=0,"",$F39/$E39)</f>
        <v>536</v>
      </c>
      <c r="H39" s="9" t="n">
        <f aca="false">IF(OR($B39=0,$E39=0),"N/A",$G39-$D39)</f>
        <v>0</v>
      </c>
      <c r="I39" s="33" t="n">
        <f aca="false">$B39-$E39</f>
        <v>0</v>
      </c>
      <c r="J39" s="9" t="n">
        <f aca="false">$F39-$C39</f>
        <v>0</v>
      </c>
      <c r="K39" s="6" t="str">
        <f aca="false">IF($E39=0,"—",IF($G39&gt;=Comm_Slab2_Start,"0.0325% of sell value","0.0175 paisa per share"))</f>
        <v>0.0325% of sell value</v>
      </c>
      <c r="L39" s="9" t="n">
        <f aca="false">IF($E39=0,0,IF($G39&gt;=Comm_Slab2_Start,$F39*Comm_Slab2_Rate,$E39*Comm_Slab1_Paisa/Paisa_Per_PKR))</f>
        <v>174.2</v>
      </c>
      <c r="M39" s="9" t="n">
        <f aca="false">$L39*SST_Rate</f>
        <v>22.646</v>
      </c>
      <c r="N39" s="9" t="n">
        <f aca="false">$L39+$M39</f>
        <v>196.846</v>
      </c>
      <c r="O39" s="9" t="n">
        <f aca="false">$J39-$N39</f>
        <v>-196.846</v>
      </c>
      <c r="P39" s="10" t="n">
        <f aca="false">IF($C39=0,"N/A",$O39/$C39)</f>
        <v>-0.00036725</v>
      </c>
    </row>
    <row r="40" customFormat="false" ht="15" hidden="false" customHeight="false" outlineLevel="0" collapsed="false">
      <c r="A40" s="6" t="s">
        <v>76</v>
      </c>
      <c r="B40" s="33" t="n">
        <v>13500</v>
      </c>
      <c r="C40" s="33" t="n">
        <v>7110950</v>
      </c>
      <c r="D40" s="9" t="n">
        <f aca="false">IF($B40=0,"",$C40/$B40)</f>
        <v>526.737037037037</v>
      </c>
      <c r="E40" s="33" t="n">
        <v>13500</v>
      </c>
      <c r="F40" s="6" t="n">
        <v>7112005</v>
      </c>
      <c r="G40" s="9" t="n">
        <f aca="false">IF($E40=0,"",$F40/$E40)</f>
        <v>526.815185185185</v>
      </c>
      <c r="H40" s="9" t="n">
        <f aca="false">IF(OR($B40=0,$E40=0),"N/A",$G40-$D40)</f>
        <v>0.078148148148216</v>
      </c>
      <c r="I40" s="33" t="n">
        <f aca="false">$B40-$E40</f>
        <v>0</v>
      </c>
      <c r="J40" s="9" t="n">
        <f aca="false">$F40-$C40</f>
        <v>1055</v>
      </c>
      <c r="K40" s="6" t="str">
        <f aca="false">IF($E40=0,"—",IF($G40&gt;=Comm_Slab2_Start,"0.0325% of sell value","0.0175 paisa per share"))</f>
        <v>0.0325% of sell value</v>
      </c>
      <c r="L40" s="9" t="n">
        <f aca="false">IF($E40=0,0,IF($G40&gt;=Comm_Slab2_Start,$F40*Comm_Slab2_Rate,$E40*Comm_Slab1_Paisa/Paisa_Per_PKR))</f>
        <v>2311.401625</v>
      </c>
      <c r="M40" s="9" t="n">
        <f aca="false">$L40*SST_Rate</f>
        <v>300.48221125</v>
      </c>
      <c r="N40" s="9" t="n">
        <f aca="false">$L40+$M40</f>
        <v>2611.88383625</v>
      </c>
      <c r="O40" s="9" t="n">
        <f aca="false">$J40-$N40</f>
        <v>-1556.88383625</v>
      </c>
      <c r="P40" s="10" t="n">
        <f aca="false">IF($C40=0,"N/A",$O40/$C40)</f>
        <v>-0.000218941749871677</v>
      </c>
    </row>
    <row r="41" customFormat="false" ht="15" hidden="false" customHeight="false" outlineLevel="0" collapsed="false">
      <c r="A41" s="6" t="s">
        <v>115</v>
      </c>
      <c r="B41" s="33" t="n">
        <v>40</v>
      </c>
      <c r="C41" s="33" t="n">
        <v>9290</v>
      </c>
      <c r="D41" s="9" t="n">
        <f aca="false">IF($B41=0,"",$C41/$B41)</f>
        <v>232.25</v>
      </c>
      <c r="E41" s="33" t="n">
        <v>40</v>
      </c>
      <c r="F41" s="6" t="n">
        <v>9320</v>
      </c>
      <c r="G41" s="9" t="n">
        <f aca="false">IF($E41=0,"",$F41/$E41)</f>
        <v>233</v>
      </c>
      <c r="H41" s="9" t="n">
        <f aca="false">IF(OR($B41=0,$E41=0),"N/A",$G41-$D41)</f>
        <v>0.75</v>
      </c>
      <c r="I41" s="33" t="n">
        <f aca="false">$B41-$E41</f>
        <v>0</v>
      </c>
      <c r="J41" s="9" t="n">
        <f aca="false">$F41-$C41</f>
        <v>30</v>
      </c>
      <c r="K41" s="6" t="str">
        <f aca="false">IF($E41=0,"—",IF($G41&gt;=Comm_Slab2_Start,"0.0325% of sell value","0.0175 paisa per share"))</f>
        <v>0.0325% of sell value</v>
      </c>
      <c r="L41" s="9" t="n">
        <f aca="false">IF($E41=0,0,IF($G41&gt;=Comm_Slab2_Start,$F41*Comm_Slab2_Rate,$E41*Comm_Slab1_Paisa/Paisa_Per_PKR))</f>
        <v>3.029</v>
      </c>
      <c r="M41" s="9" t="n">
        <f aca="false">$L41*SST_Rate</f>
        <v>0.39377</v>
      </c>
      <c r="N41" s="9" t="n">
        <f aca="false">$L41+$M41</f>
        <v>3.42277</v>
      </c>
      <c r="O41" s="9" t="n">
        <f aca="false">$J41-$N41</f>
        <v>26.57723</v>
      </c>
      <c r="P41" s="10" t="n">
        <f aca="false">IF($C41=0,"N/A",$O41/$C41)</f>
        <v>0.00286084284176534</v>
      </c>
    </row>
    <row r="42" customFormat="false" ht="15" hidden="false" customHeight="false" outlineLevel="0" collapsed="false">
      <c r="A42" s="6" t="s">
        <v>77</v>
      </c>
      <c r="B42" s="33" t="n">
        <v>12000</v>
      </c>
      <c r="C42" s="33" t="n">
        <v>2862395</v>
      </c>
      <c r="D42" s="9" t="n">
        <f aca="false">IF($B42=0,"",$C42/$B42)</f>
        <v>238.532916666667</v>
      </c>
      <c r="E42" s="33" t="n">
        <v>12000</v>
      </c>
      <c r="F42" s="6" t="n">
        <v>2866355</v>
      </c>
      <c r="G42" s="9" t="n">
        <f aca="false">IF($E42=0,"",$F42/$E42)</f>
        <v>238.862916666667</v>
      </c>
      <c r="H42" s="9" t="n">
        <f aca="false">IF(OR($B42=0,$E42=0),"N/A",$G42-$D42)</f>
        <v>0.330000000000013</v>
      </c>
      <c r="I42" s="33" t="n">
        <f aca="false">$B42-$E42</f>
        <v>0</v>
      </c>
      <c r="J42" s="9" t="n">
        <f aca="false">$F42-$C42</f>
        <v>3960</v>
      </c>
      <c r="K42" s="6" t="str">
        <f aca="false">IF($E42=0,"—",IF($G42&gt;=Comm_Slab2_Start,"0.0325% of sell value","0.0175 paisa per share"))</f>
        <v>0.0325% of sell value</v>
      </c>
      <c r="L42" s="9" t="n">
        <f aca="false">IF($E42=0,0,IF($G42&gt;=Comm_Slab2_Start,$F42*Comm_Slab2_Rate,$E42*Comm_Slab1_Paisa/Paisa_Per_PKR))</f>
        <v>931.565375</v>
      </c>
      <c r="M42" s="9" t="n">
        <f aca="false">$L42*SST_Rate</f>
        <v>121.10349875</v>
      </c>
      <c r="N42" s="9" t="n">
        <f aca="false">$L42+$M42</f>
        <v>1052.66887375</v>
      </c>
      <c r="O42" s="9" t="n">
        <f aca="false">$J42-$N42</f>
        <v>2907.33112625</v>
      </c>
      <c r="P42" s="10" t="n">
        <f aca="false">IF($C42=0,"N/A",$O42/$C42)</f>
        <v>0.00101569878589433</v>
      </c>
    </row>
    <row r="43" customFormat="false" ht="15" hidden="false" customHeight="false" outlineLevel="0" collapsed="false">
      <c r="A43" s="6" t="s">
        <v>72</v>
      </c>
      <c r="B43" s="33" t="n">
        <v>58500</v>
      </c>
      <c r="C43" s="33" t="n">
        <v>5047085</v>
      </c>
      <c r="D43" s="9" t="n">
        <f aca="false">IF($B43=0,"",$C43/$B43)</f>
        <v>86.2749572649573</v>
      </c>
      <c r="E43" s="33" t="n">
        <v>58500</v>
      </c>
      <c r="F43" s="6" t="n">
        <v>5059075</v>
      </c>
      <c r="G43" s="9" t="n">
        <f aca="false">IF($E43=0,"",$F43/$E43)</f>
        <v>86.4799145299145</v>
      </c>
      <c r="H43" s="9" t="n">
        <f aca="false">IF(OR($B43=0,$E43=0),"N/A",$G43-$D43)</f>
        <v>0.204957264957258</v>
      </c>
      <c r="I43" s="33" t="n">
        <f aca="false">$B43-$E43</f>
        <v>0</v>
      </c>
      <c r="J43" s="9" t="n">
        <f aca="false">$F43-$C43</f>
        <v>11990</v>
      </c>
      <c r="K43" s="6" t="str">
        <f aca="false">IF($E43=0,"—",IF($G43&gt;=Comm_Slab2_Start,"0.0325% of sell value","0.0175 paisa per share"))</f>
        <v>0.0325% of sell value</v>
      </c>
      <c r="L43" s="9" t="n">
        <f aca="false">IF($E43=0,0,IF($G43&gt;=Comm_Slab2_Start,$F43*Comm_Slab2_Rate,$E43*Comm_Slab1_Paisa/Paisa_Per_PKR))</f>
        <v>1644.199375</v>
      </c>
      <c r="M43" s="9" t="n">
        <f aca="false">$L43*SST_Rate</f>
        <v>213.74591875</v>
      </c>
      <c r="N43" s="9" t="n">
        <f aca="false">$L43+$M43</f>
        <v>1857.94529375</v>
      </c>
      <c r="O43" s="9" t="n">
        <f aca="false">$J43-$N43</f>
        <v>10132.05470625</v>
      </c>
      <c r="P43" s="10" t="n">
        <f aca="false">IF($C43=0,"N/A",$O43/$C43)</f>
        <v>0.0020075062548481</v>
      </c>
    </row>
    <row r="44" customFormat="false" ht="15" hidden="false" customHeight="false" outlineLevel="0" collapsed="false">
      <c r="A44" s="6" t="s">
        <v>104</v>
      </c>
      <c r="B44" s="33" t="n">
        <v>600</v>
      </c>
      <c r="C44" s="33" t="n">
        <v>231330</v>
      </c>
      <c r="D44" s="9" t="n">
        <f aca="false">IF($B44=0,"",$C44/$B44)</f>
        <v>385.55</v>
      </c>
      <c r="E44" s="33" t="n">
        <v>600</v>
      </c>
      <c r="F44" s="6" t="n">
        <v>231825</v>
      </c>
      <c r="G44" s="9" t="n">
        <f aca="false">IF($E44=0,"",$F44/$E44)</f>
        <v>386.375</v>
      </c>
      <c r="H44" s="9" t="n">
        <f aca="false">IF(OR($B44=0,$E44=0),"N/A",$G44-$D44)</f>
        <v>0.824999999999989</v>
      </c>
      <c r="I44" s="33" t="n">
        <f aca="false">$B44-$E44</f>
        <v>0</v>
      </c>
      <c r="J44" s="9" t="n">
        <f aca="false">$F44-$C44</f>
        <v>495</v>
      </c>
      <c r="K44" s="6" t="str">
        <f aca="false">IF($E44=0,"—",IF($G44&gt;=Comm_Slab2_Start,"0.0325% of sell value","0.0175 paisa per share"))</f>
        <v>0.0325% of sell value</v>
      </c>
      <c r="L44" s="9" t="n">
        <f aca="false">IF($E44=0,0,IF($G44&gt;=Comm_Slab2_Start,$F44*Comm_Slab2_Rate,$E44*Comm_Slab1_Paisa/Paisa_Per_PKR))</f>
        <v>75.343125</v>
      </c>
      <c r="M44" s="9" t="n">
        <f aca="false">$L44*SST_Rate</f>
        <v>9.79460625</v>
      </c>
      <c r="N44" s="9" t="n">
        <f aca="false">$L44+$M44</f>
        <v>85.13773125</v>
      </c>
      <c r="O44" s="9" t="n">
        <f aca="false">$J44-$N44</f>
        <v>409.86226875</v>
      </c>
      <c r="P44" s="10" t="n">
        <f aca="false">IF($C44=0,"N/A",$O44/$C44)</f>
        <v>0.00177176444365193</v>
      </c>
    </row>
    <row r="45" customFormat="false" ht="15" hidden="false" customHeight="false" outlineLevel="0" collapsed="false">
      <c r="A45" s="6" t="s">
        <v>107</v>
      </c>
      <c r="B45" s="33" t="n">
        <v>10000</v>
      </c>
      <c r="C45" s="33" t="n">
        <v>3903305</v>
      </c>
      <c r="D45" s="9" t="n">
        <f aca="false">IF($B45=0,"",$C45/$B45)</f>
        <v>390.3305</v>
      </c>
      <c r="E45" s="33" t="n">
        <v>10000</v>
      </c>
      <c r="F45" s="6" t="n">
        <v>3903005</v>
      </c>
      <c r="G45" s="9" t="n">
        <f aca="false">IF($E45=0,"",$F45/$E45)</f>
        <v>390.3005</v>
      </c>
      <c r="H45" s="9" t="n">
        <f aca="false">IF(OR($B45=0,$E45=0),"N/A",$G45-$D45)</f>
        <v>-0.0299999999999727</v>
      </c>
      <c r="I45" s="33" t="n">
        <f aca="false">$B45-$E45</f>
        <v>0</v>
      </c>
      <c r="J45" s="9" t="n">
        <f aca="false">$F45-$C45</f>
        <v>-300</v>
      </c>
      <c r="K45" s="6" t="str">
        <f aca="false">IF($E45=0,"—",IF($G45&gt;=Comm_Slab2_Start,"0.0325% of sell value","0.0175 paisa per share"))</f>
        <v>0.0325% of sell value</v>
      </c>
      <c r="L45" s="9" t="n">
        <f aca="false">IF($E45=0,0,IF($G45&gt;=Comm_Slab2_Start,$F45*Comm_Slab2_Rate,$E45*Comm_Slab1_Paisa/Paisa_Per_PKR))</f>
        <v>1268.476625</v>
      </c>
      <c r="M45" s="9" t="n">
        <f aca="false">$L45*SST_Rate</f>
        <v>164.90196125</v>
      </c>
      <c r="N45" s="9" t="n">
        <f aca="false">$L45+$M45</f>
        <v>1433.37858625</v>
      </c>
      <c r="O45" s="9" t="n">
        <f aca="false">$J45-$N45</f>
        <v>-1733.37858625</v>
      </c>
      <c r="P45" s="10" t="n">
        <f aca="false">IF($C45=0,"N/A",$O45/$C45)</f>
        <v>-0.000444079718661493</v>
      </c>
    </row>
    <row r="46" customFormat="false" ht="15" hidden="false" customHeight="false" outlineLevel="0" collapsed="false">
      <c r="A46" s="6" t="s">
        <v>102</v>
      </c>
      <c r="B46" s="33" t="n">
        <v>12500</v>
      </c>
      <c r="C46" s="33" t="n">
        <v>369720</v>
      </c>
      <c r="D46" s="9" t="n">
        <f aca="false">IF($B46=0,"",$C46/$B46)</f>
        <v>29.5776</v>
      </c>
      <c r="E46" s="33" t="n">
        <v>12500</v>
      </c>
      <c r="F46" s="6" t="n">
        <v>369975</v>
      </c>
      <c r="G46" s="9" t="n">
        <f aca="false">IF($E46=0,"",$F46/$E46)</f>
        <v>29.598</v>
      </c>
      <c r="H46" s="9" t="n">
        <f aca="false">IF(OR($B46=0,$E46=0),"N/A",$G46-$D46)</f>
        <v>0.0203999999999986</v>
      </c>
      <c r="I46" s="33" t="n">
        <f aca="false">$B46-$E46</f>
        <v>0</v>
      </c>
      <c r="J46" s="9" t="n">
        <f aca="false">$F46-$C46</f>
        <v>255</v>
      </c>
      <c r="K46" s="6" t="str">
        <f aca="false">IF($E46=0,"—",IF($G46&gt;=Comm_Slab2_Start,"0.0325% of sell value","0.0175 paisa per share"))</f>
        <v>0.0175 paisa per share</v>
      </c>
      <c r="L46" s="9" t="n">
        <f aca="false">IF($E46=0,0,IF($G46&gt;=Comm_Slab2_Start,$F46*Comm_Slab2_Rate,$E46*Comm_Slab1_Paisa/Paisa_Per_PKR))</f>
        <v>2.1875</v>
      </c>
      <c r="M46" s="9" t="n">
        <f aca="false">$L46*SST_Rate</f>
        <v>0.284375</v>
      </c>
      <c r="N46" s="9" t="n">
        <f aca="false">$L46+$M46</f>
        <v>2.471875</v>
      </c>
      <c r="O46" s="9" t="n">
        <f aca="false">$J46-$N46</f>
        <v>252.528125</v>
      </c>
      <c r="P46" s="10" t="n">
        <f aca="false">IF($C46=0,"N/A",$O46/$C46)</f>
        <v>0.000683025329979444</v>
      </c>
    </row>
    <row r="47" customFormat="false" ht="15" hidden="false" customHeight="false" outlineLevel="0" collapsed="false">
      <c r="A47" s="29" t="s">
        <v>42</v>
      </c>
      <c r="B47" s="50" t="n">
        <f aca="false">SUM(B37:B46)</f>
        <v>125640</v>
      </c>
      <c r="C47" s="50" t="n">
        <f aca="false">SUM(C37:C46)</f>
        <v>21984905</v>
      </c>
      <c r="D47" s="51" t="n">
        <f aca="false">IF($B47=0,"",$C47/$B47)</f>
        <v>174.983325374085</v>
      </c>
      <c r="E47" s="50" t="n">
        <f aca="false">SUM(E37:E46)</f>
        <v>125640</v>
      </c>
      <c r="F47" s="29" t="n">
        <f aca="false">SUM(F37:F46)</f>
        <v>22001335</v>
      </c>
      <c r="G47" s="51" t="n">
        <f aca="false">IF($E47=0,"",$F47/$E47)</f>
        <v>175.114095829354</v>
      </c>
      <c r="H47" s="51" t="n">
        <f aca="false">IF(OR($B47=0,$E47=0),"N/A",$G47-$D47)</f>
        <v>0.130770455269015</v>
      </c>
      <c r="I47" s="50" t="n">
        <f aca="false">$B47-$E47</f>
        <v>0</v>
      </c>
      <c r="J47" s="51" t="n">
        <f aca="false">SUM(J37:J46)</f>
        <v>16430</v>
      </c>
      <c r="K47" s="29"/>
      <c r="L47" s="51" t="n">
        <f aca="false">SUM(L37:L46)</f>
        <v>6920.371375</v>
      </c>
      <c r="M47" s="51" t="n">
        <f aca="false">SUM(M37:M46)</f>
        <v>899.64827875</v>
      </c>
      <c r="N47" s="51" t="n">
        <f aca="false">$L47+$M47</f>
        <v>7820.01965375</v>
      </c>
      <c r="O47" s="51" t="n">
        <f aca="false">SUM(O37:O46)</f>
        <v>8609.98034625</v>
      </c>
      <c r="P47" s="52" t="n">
        <f aca="false">IF($C47=0,"N/A",$O47/$C47)</f>
        <v>0.000391631455594191</v>
      </c>
    </row>
    <row r="50" customFormat="false" ht="19.7" hidden="false" customHeight="false" outlineLevel="0" collapsed="false">
      <c r="A50" s="1" t="s">
        <v>153</v>
      </c>
    </row>
    <row r="51" customFormat="false" ht="15" hidden="false" customHeight="false" outlineLevel="0" collapsed="false">
      <c r="A51" s="2" t="s">
        <v>132</v>
      </c>
      <c r="D51" s="31" t="s">
        <v>133</v>
      </c>
    </row>
    <row r="52" customFormat="false" ht="15" hidden="false" customHeight="false" outlineLevel="0" collapsed="false">
      <c r="A52" s="3" t="s">
        <v>134</v>
      </c>
      <c r="B52" s="27" t="n">
        <v>46253</v>
      </c>
      <c r="D52" s="3" t="s">
        <v>135</v>
      </c>
      <c r="E52" s="47" t="n">
        <f aca="false">C70</f>
        <v>12039745</v>
      </c>
    </row>
    <row r="53" customFormat="false" ht="15" hidden="false" customHeight="false" outlineLevel="0" collapsed="false">
      <c r="A53" s="3" t="s">
        <v>136</v>
      </c>
      <c r="B53" s="28" t="s">
        <v>137</v>
      </c>
      <c r="D53" s="3" t="s">
        <v>138</v>
      </c>
      <c r="E53" s="47" t="n">
        <f aca="false">F70</f>
        <v>12062720</v>
      </c>
    </row>
    <row r="54" customFormat="false" ht="15" hidden="false" customHeight="false" outlineLevel="0" collapsed="false">
      <c r="A54" s="3" t="s">
        <v>139</v>
      </c>
      <c r="B54" s="28" t="s">
        <v>140</v>
      </c>
      <c r="D54" s="3" t="s">
        <v>11</v>
      </c>
      <c r="E54" s="47" t="n">
        <f aca="false">J70</f>
        <v>22975</v>
      </c>
    </row>
    <row r="55" customFormat="false" ht="15" hidden="false" customHeight="false" outlineLevel="0" collapsed="false">
      <c r="A55" s="3" t="s">
        <v>141</v>
      </c>
      <c r="B55" s="28" t="s">
        <v>142</v>
      </c>
      <c r="D55" s="3" t="s">
        <v>13</v>
      </c>
      <c r="E55" s="47" t="n">
        <f aca="false">L70</f>
        <v>3851.25275</v>
      </c>
    </row>
    <row r="56" customFormat="false" ht="15" hidden="false" customHeight="false" outlineLevel="0" collapsed="false">
      <c r="A56" s="3" t="s">
        <v>143</v>
      </c>
      <c r="B56" s="28" t="s">
        <v>144</v>
      </c>
      <c r="D56" s="3" t="s">
        <v>15</v>
      </c>
      <c r="E56" s="47" t="n">
        <f aca="false">M70</f>
        <v>500.6628575</v>
      </c>
    </row>
    <row r="57" customFormat="false" ht="15" hidden="false" customHeight="false" outlineLevel="0" collapsed="false">
      <c r="A57" s="3" t="s">
        <v>145</v>
      </c>
      <c r="B57" s="28" t="s">
        <v>154</v>
      </c>
      <c r="D57" s="3" t="s">
        <v>147</v>
      </c>
      <c r="E57" s="47" t="n">
        <f aca="false">N70</f>
        <v>4351.9156075</v>
      </c>
    </row>
    <row r="58" customFormat="false" ht="15" hidden="false" customHeight="false" outlineLevel="0" collapsed="false">
      <c r="D58" s="3" t="s">
        <v>16</v>
      </c>
      <c r="E58" s="47" t="n">
        <f aca="false">O70</f>
        <v>18623.0843925</v>
      </c>
    </row>
    <row r="59" customFormat="false" ht="15" hidden="false" customHeight="false" outlineLevel="0" collapsed="false">
      <c r="D59" s="3" t="s">
        <v>8</v>
      </c>
      <c r="E59" s="48" t="n">
        <f aca="false">P70</f>
        <v>0.00154680056699706</v>
      </c>
    </row>
    <row r="60" customFormat="false" ht="15" hidden="false" customHeight="false" outlineLevel="0" collapsed="false">
      <c r="D60" s="3" t="s">
        <v>148</v>
      </c>
      <c r="E60" s="49" t="n">
        <f aca="false">I70</f>
        <v>0</v>
      </c>
    </row>
    <row r="61" customFormat="false" ht="15" hidden="false" customHeight="false" outlineLevel="0" collapsed="false">
      <c r="A61" s="31" t="s">
        <v>149</v>
      </c>
    </row>
    <row r="62" customFormat="false" ht="30" hidden="false" customHeight="true" outlineLevel="0" collapsed="false">
      <c r="A62" s="18" t="s">
        <v>71</v>
      </c>
      <c r="B62" s="18" t="s">
        <v>33</v>
      </c>
      <c r="C62" s="18" t="s">
        <v>36</v>
      </c>
      <c r="D62" s="18" t="s">
        <v>60</v>
      </c>
      <c r="E62" s="18" t="s">
        <v>34</v>
      </c>
      <c r="F62" s="18" t="s">
        <v>37</v>
      </c>
      <c r="G62" s="18" t="s">
        <v>61</v>
      </c>
      <c r="H62" s="18" t="s">
        <v>62</v>
      </c>
      <c r="I62" s="18" t="s">
        <v>35</v>
      </c>
      <c r="J62" s="18" t="s">
        <v>38</v>
      </c>
      <c r="K62" s="18" t="s">
        <v>63</v>
      </c>
      <c r="L62" s="18" t="s">
        <v>39</v>
      </c>
      <c r="M62" s="18" t="s">
        <v>64</v>
      </c>
      <c r="N62" s="18" t="s">
        <v>41</v>
      </c>
      <c r="O62" s="18" t="s">
        <v>7</v>
      </c>
      <c r="P62" s="18" t="s">
        <v>8</v>
      </c>
    </row>
    <row r="63" customFormat="false" ht="15" hidden="false" customHeight="false" outlineLevel="0" collapsed="false">
      <c r="A63" s="6" t="s">
        <v>89</v>
      </c>
      <c r="B63" s="33" t="n">
        <v>2500</v>
      </c>
      <c r="C63" s="33" t="n">
        <v>538725</v>
      </c>
      <c r="D63" s="9" t="n">
        <f aca="false">IF($B63=0,"",$C63/$B63)</f>
        <v>215.49</v>
      </c>
      <c r="E63" s="33" t="n">
        <v>2500</v>
      </c>
      <c r="F63" s="6" t="n">
        <v>539250</v>
      </c>
      <c r="G63" s="9" t="n">
        <f aca="false">IF($E63=0,"",$F63/$E63)</f>
        <v>215.7</v>
      </c>
      <c r="H63" s="9" t="n">
        <f aca="false">IF(OR($B63=0,$E63=0),"N/A",$G63-$D63)</f>
        <v>0.20999999999998</v>
      </c>
      <c r="I63" s="33" t="n">
        <f aca="false">$B63-$E63</f>
        <v>0</v>
      </c>
      <c r="J63" s="9" t="n">
        <f aca="false">$F63-$C63</f>
        <v>525</v>
      </c>
      <c r="K63" s="6" t="str">
        <f aca="false">IF($E63=0,"—",IF($G63&gt;=Comm_Slab2_Start,"0.0325% of sell value","0.0175 paisa per share"))</f>
        <v>0.0325% of sell value</v>
      </c>
      <c r="L63" s="9" t="n">
        <f aca="false">IF($E63=0,0,IF($G63&gt;=Comm_Slab2_Start,$F63*Comm_Slab2_Rate,$E63*Comm_Slab1_Paisa/Paisa_Per_PKR))</f>
        <v>175.25625</v>
      </c>
      <c r="M63" s="9" t="n">
        <f aca="false">$L63*SST_Rate</f>
        <v>22.7833125</v>
      </c>
      <c r="N63" s="9" t="n">
        <f aca="false">$L63+$M63</f>
        <v>198.0395625</v>
      </c>
      <c r="O63" s="9" t="n">
        <f aca="false">$J63-$N63</f>
        <v>326.9604375</v>
      </c>
      <c r="P63" s="10" t="n">
        <f aca="false">IF($C63=0,"N/A",$O63/$C63)</f>
        <v>0.000606915286092162</v>
      </c>
    </row>
    <row r="64" customFormat="false" ht="15" hidden="false" customHeight="false" outlineLevel="0" collapsed="false">
      <c r="A64" s="6" t="s">
        <v>76</v>
      </c>
      <c r="B64" s="33" t="n">
        <v>5000</v>
      </c>
      <c r="C64" s="33" t="n">
        <v>2446110</v>
      </c>
      <c r="D64" s="9" t="n">
        <f aca="false">IF($B64=0,"",$C64/$B64)</f>
        <v>489.222</v>
      </c>
      <c r="E64" s="33" t="n">
        <v>5000</v>
      </c>
      <c r="F64" s="6" t="n">
        <v>2452650</v>
      </c>
      <c r="G64" s="9" t="n">
        <f aca="false">IF($E64=0,"",$F64/$E64)</f>
        <v>490.53</v>
      </c>
      <c r="H64" s="9" t="n">
        <f aca="false">IF(OR($B64=0,$E64=0),"N/A",$G64-$D64)</f>
        <v>1.30799999999999</v>
      </c>
      <c r="I64" s="33" t="n">
        <f aca="false">$B64-$E64</f>
        <v>0</v>
      </c>
      <c r="J64" s="9" t="n">
        <f aca="false">$F64-$C64</f>
        <v>6540</v>
      </c>
      <c r="K64" s="6" t="str">
        <f aca="false">IF($E64=0,"—",IF($G64&gt;=Comm_Slab2_Start,"0.0325% of sell value","0.0175 paisa per share"))</f>
        <v>0.0325% of sell value</v>
      </c>
      <c r="L64" s="9" t="n">
        <f aca="false">IF($E64=0,0,IF($G64&gt;=Comm_Slab2_Start,$F64*Comm_Slab2_Rate,$E64*Comm_Slab1_Paisa/Paisa_Per_PKR))</f>
        <v>797.11125</v>
      </c>
      <c r="M64" s="9" t="n">
        <f aca="false">$L64*SST_Rate</f>
        <v>103.6244625</v>
      </c>
      <c r="N64" s="9" t="n">
        <f aca="false">$L64+$M64</f>
        <v>900.7357125</v>
      </c>
      <c r="O64" s="9" t="n">
        <f aca="false">$J64-$N64</f>
        <v>5639.2642875</v>
      </c>
      <c r="P64" s="10" t="n">
        <f aca="false">IF($C64=0,"N/A",$O64/$C64)</f>
        <v>0.00230540093761115</v>
      </c>
    </row>
    <row r="65" customFormat="false" ht="15" hidden="false" customHeight="false" outlineLevel="0" collapsed="false">
      <c r="A65" s="6" t="s">
        <v>124</v>
      </c>
      <c r="B65" s="33" t="n">
        <v>2500</v>
      </c>
      <c r="C65" s="33" t="n">
        <v>800370</v>
      </c>
      <c r="D65" s="9" t="n">
        <f aca="false">IF($B65=0,"",$C65/$B65)</f>
        <v>320.148</v>
      </c>
      <c r="E65" s="33" t="n">
        <v>2500</v>
      </c>
      <c r="F65" s="6" t="n">
        <v>800250</v>
      </c>
      <c r="G65" s="9" t="n">
        <f aca="false">IF($E65=0,"",$F65/$E65)</f>
        <v>320.1</v>
      </c>
      <c r="H65" s="9" t="n">
        <f aca="false">IF(OR($B65=0,$E65=0),"N/A",$G65-$D65)</f>
        <v>-0.0480000000000018</v>
      </c>
      <c r="I65" s="33" t="n">
        <f aca="false">$B65-$E65</f>
        <v>0</v>
      </c>
      <c r="J65" s="9" t="n">
        <f aca="false">$F65-$C65</f>
        <v>-120</v>
      </c>
      <c r="K65" s="6" t="str">
        <f aca="false">IF($E65=0,"—",IF($G65&gt;=Comm_Slab2_Start,"0.0325% of sell value","0.0175 paisa per share"))</f>
        <v>0.0325% of sell value</v>
      </c>
      <c r="L65" s="9" t="n">
        <f aca="false">IF($E65=0,0,IF($G65&gt;=Comm_Slab2_Start,$F65*Comm_Slab2_Rate,$E65*Comm_Slab1_Paisa/Paisa_Per_PKR))</f>
        <v>260.08125</v>
      </c>
      <c r="M65" s="9" t="n">
        <f aca="false">$L65*SST_Rate</f>
        <v>33.8105625</v>
      </c>
      <c r="N65" s="9" t="n">
        <f aca="false">$L65+$M65</f>
        <v>293.8918125</v>
      </c>
      <c r="O65" s="9" t="n">
        <f aca="false">$J65-$N65</f>
        <v>-413.8918125</v>
      </c>
      <c r="P65" s="10" t="n">
        <f aca="false">IF($C65=0,"N/A",$O65/$C65)</f>
        <v>-0.000517125595037295</v>
      </c>
    </row>
    <row r="66" customFormat="false" ht="15" hidden="false" customHeight="false" outlineLevel="0" collapsed="false">
      <c r="A66" s="6" t="s">
        <v>77</v>
      </c>
      <c r="B66" s="33" t="n">
        <v>5000</v>
      </c>
      <c r="C66" s="33" t="n">
        <v>1199450</v>
      </c>
      <c r="D66" s="9" t="n">
        <f aca="false">IF($B66=0,"",$C66/$B66)</f>
        <v>239.89</v>
      </c>
      <c r="E66" s="33" t="n">
        <v>5000</v>
      </c>
      <c r="F66" s="6" t="n">
        <v>1207500</v>
      </c>
      <c r="G66" s="9" t="n">
        <f aca="false">IF($E66=0,"",$F66/$E66)</f>
        <v>241.5</v>
      </c>
      <c r="H66" s="9" t="n">
        <f aca="false">IF(OR($B66=0,$E66=0),"N/A",$G66-$D66)</f>
        <v>1.61000000000001</v>
      </c>
      <c r="I66" s="33" t="n">
        <f aca="false">$B66-$E66</f>
        <v>0</v>
      </c>
      <c r="J66" s="9" t="n">
        <f aca="false">$F66-$C66</f>
        <v>8050</v>
      </c>
      <c r="K66" s="6" t="str">
        <f aca="false">IF($E66=0,"—",IF($G66&gt;=Comm_Slab2_Start,"0.0325% of sell value","0.0175 paisa per share"))</f>
        <v>0.0325% of sell value</v>
      </c>
      <c r="L66" s="9" t="n">
        <f aca="false">IF($E66=0,0,IF($G66&gt;=Comm_Slab2_Start,$F66*Comm_Slab2_Rate,$E66*Comm_Slab1_Paisa/Paisa_Per_PKR))</f>
        <v>392.4375</v>
      </c>
      <c r="M66" s="9" t="n">
        <f aca="false">$L66*SST_Rate</f>
        <v>51.016875</v>
      </c>
      <c r="N66" s="9" t="n">
        <f aca="false">$L66+$M66</f>
        <v>443.454375</v>
      </c>
      <c r="O66" s="9" t="n">
        <f aca="false">$J66-$N66</f>
        <v>7606.545625</v>
      </c>
      <c r="P66" s="10" t="n">
        <f aca="false">IF($C66=0,"N/A",$O66/$C66)</f>
        <v>0.00634169463087248</v>
      </c>
    </row>
    <row r="67" customFormat="false" ht="15" hidden="false" customHeight="false" outlineLevel="0" collapsed="false">
      <c r="A67" s="6" t="s">
        <v>72</v>
      </c>
      <c r="B67" s="33" t="n">
        <v>71000</v>
      </c>
      <c r="C67" s="33" t="n">
        <v>5869290</v>
      </c>
      <c r="D67" s="9" t="n">
        <f aca="false">IF($B67=0,"",$C67/$B67)</f>
        <v>82.6660563380282</v>
      </c>
      <c r="E67" s="33" t="n">
        <v>71000</v>
      </c>
      <c r="F67" s="6" t="n">
        <v>5876320</v>
      </c>
      <c r="G67" s="9" t="n">
        <f aca="false">IF($E67=0,"",$F67/$E67)</f>
        <v>82.7650704225352</v>
      </c>
      <c r="H67" s="9" t="n">
        <f aca="false">IF(OR($B67=0,$E67=0),"N/A",$G67-$D67)</f>
        <v>0.0990140845070471</v>
      </c>
      <c r="I67" s="33" t="n">
        <f aca="false">$B67-$E67</f>
        <v>0</v>
      </c>
      <c r="J67" s="9" t="n">
        <f aca="false">$F67-$C67</f>
        <v>7030</v>
      </c>
      <c r="K67" s="6" t="str">
        <f aca="false">IF($E67=0,"—",IF($G67&gt;=Comm_Slab2_Start,"0.0325% of sell value","0.0175 paisa per share"))</f>
        <v>0.0325% of sell value</v>
      </c>
      <c r="L67" s="9" t="n">
        <f aca="false">IF($E67=0,0,IF($G67&gt;=Comm_Slab2_Start,$F67*Comm_Slab2_Rate,$E67*Comm_Slab1_Paisa/Paisa_Per_PKR))</f>
        <v>1909.804</v>
      </c>
      <c r="M67" s="9" t="n">
        <f aca="false">$L67*SST_Rate</f>
        <v>248.27452</v>
      </c>
      <c r="N67" s="9" t="n">
        <f aca="false">$L67+$M67</f>
        <v>2158.07852</v>
      </c>
      <c r="O67" s="9" t="n">
        <f aca="false">$J67-$N67</f>
        <v>4871.92148</v>
      </c>
      <c r="P67" s="10" t="n">
        <f aca="false">IF($C67=0,"N/A",$O67/$C67)</f>
        <v>0.000830069988022401</v>
      </c>
    </row>
    <row r="68" customFormat="false" ht="15" hidden="false" customHeight="false" outlineLevel="0" collapsed="false">
      <c r="A68" s="6" t="s">
        <v>107</v>
      </c>
      <c r="B68" s="33" t="n">
        <v>2500</v>
      </c>
      <c r="C68" s="33" t="n">
        <v>969500</v>
      </c>
      <c r="D68" s="9" t="n">
        <f aca="false">IF($B68=0,"",$C68/$B68)</f>
        <v>387.8</v>
      </c>
      <c r="E68" s="33" t="n">
        <v>2500</v>
      </c>
      <c r="F68" s="6" t="n">
        <v>970000</v>
      </c>
      <c r="G68" s="9" t="n">
        <f aca="false">IF($E68=0,"",$F68/$E68)</f>
        <v>388</v>
      </c>
      <c r="H68" s="9" t="n">
        <f aca="false">IF(OR($B68=0,$E68=0),"N/A",$G68-$D68)</f>
        <v>0.199999999999989</v>
      </c>
      <c r="I68" s="33" t="n">
        <f aca="false">$B68-$E68</f>
        <v>0</v>
      </c>
      <c r="J68" s="9" t="n">
        <f aca="false">$F68-$C68</f>
        <v>500</v>
      </c>
      <c r="K68" s="6" t="str">
        <f aca="false">IF($E68=0,"—",IF($G68&gt;=Comm_Slab2_Start,"0.0325% of sell value","0.0175 paisa per share"))</f>
        <v>0.0325% of sell value</v>
      </c>
      <c r="L68" s="9" t="n">
        <f aca="false">IF($E68=0,0,IF($G68&gt;=Comm_Slab2_Start,$F68*Comm_Slab2_Rate,$E68*Comm_Slab1_Paisa/Paisa_Per_PKR))</f>
        <v>315.25</v>
      </c>
      <c r="M68" s="9" t="n">
        <f aca="false">$L68*SST_Rate</f>
        <v>40.9825</v>
      </c>
      <c r="N68" s="9" t="n">
        <f aca="false">$L68+$M68</f>
        <v>356.2325</v>
      </c>
      <c r="O68" s="9" t="n">
        <f aca="false">$J68-$N68</f>
        <v>143.7675</v>
      </c>
      <c r="P68" s="10" t="n">
        <f aca="false">IF($C68=0,"N/A",$O68/$C68)</f>
        <v>0.000148290355853533</v>
      </c>
    </row>
    <row r="69" customFormat="false" ht="15" hidden="false" customHeight="false" outlineLevel="0" collapsed="false">
      <c r="A69" s="6" t="s">
        <v>102</v>
      </c>
      <c r="B69" s="33" t="n">
        <v>7500</v>
      </c>
      <c r="C69" s="33" t="n">
        <v>216300</v>
      </c>
      <c r="D69" s="9" t="n">
        <f aca="false">IF($B69=0,"",$C69/$B69)</f>
        <v>28.84</v>
      </c>
      <c r="E69" s="33" t="n">
        <v>7500</v>
      </c>
      <c r="F69" s="6" t="n">
        <v>216750</v>
      </c>
      <c r="G69" s="9" t="n">
        <f aca="false">IF($E69=0,"",$F69/$E69)</f>
        <v>28.9</v>
      </c>
      <c r="H69" s="9" t="n">
        <f aca="false">IF(OR($B69=0,$E69=0),"N/A",$G69-$D69)</f>
        <v>0.0599999999999987</v>
      </c>
      <c r="I69" s="33" t="n">
        <f aca="false">$B69-$E69</f>
        <v>0</v>
      </c>
      <c r="J69" s="9" t="n">
        <f aca="false">$F69-$C69</f>
        <v>450</v>
      </c>
      <c r="K69" s="6" t="str">
        <f aca="false">IF($E69=0,"—",IF($G69&gt;=Comm_Slab2_Start,"0.0325% of sell value","0.0175 paisa per share"))</f>
        <v>0.0175 paisa per share</v>
      </c>
      <c r="L69" s="9" t="n">
        <f aca="false">IF($E69=0,0,IF($G69&gt;=Comm_Slab2_Start,$F69*Comm_Slab2_Rate,$E69*Comm_Slab1_Paisa/Paisa_Per_PKR))</f>
        <v>1.3125</v>
      </c>
      <c r="M69" s="9" t="n">
        <f aca="false">$L69*SST_Rate</f>
        <v>0.170625</v>
      </c>
      <c r="N69" s="9" t="n">
        <f aca="false">$L69+$M69</f>
        <v>1.483125</v>
      </c>
      <c r="O69" s="9" t="n">
        <f aca="false">$J69-$N69</f>
        <v>448.516875</v>
      </c>
      <c r="P69" s="10" t="n">
        <f aca="false">IF($C69=0,"N/A",$O69/$C69)</f>
        <v>0.00207358703190014</v>
      </c>
    </row>
    <row r="70" customFormat="false" ht="15" hidden="false" customHeight="false" outlineLevel="0" collapsed="false">
      <c r="A70" s="29" t="s">
        <v>42</v>
      </c>
      <c r="B70" s="50" t="n">
        <f aca="false">SUM(B63:B69)</f>
        <v>96000</v>
      </c>
      <c r="C70" s="50" t="n">
        <f aca="false">SUM(C63:C69)</f>
        <v>12039745</v>
      </c>
      <c r="D70" s="51" t="n">
        <f aca="false">IF($B70=0,"",$C70/$B70)</f>
        <v>125.414010416667</v>
      </c>
      <c r="E70" s="50" t="n">
        <f aca="false">SUM(E63:E69)</f>
        <v>96000</v>
      </c>
      <c r="F70" s="29" t="n">
        <f aca="false">SUM(F63:F69)</f>
        <v>12062720</v>
      </c>
      <c r="G70" s="51" t="n">
        <f aca="false">IF($E70=0,"",$F70/$E70)</f>
        <v>125.653333333333</v>
      </c>
      <c r="H70" s="51" t="n">
        <f aca="false">IF(OR($B70=0,$E70=0),"N/A",$G70-$D70)</f>
        <v>0.239322916666666</v>
      </c>
      <c r="I70" s="50" t="n">
        <f aca="false">$B70-$E70</f>
        <v>0</v>
      </c>
      <c r="J70" s="51" t="n">
        <f aca="false">SUM(J63:J69)</f>
        <v>22975</v>
      </c>
      <c r="K70" s="29"/>
      <c r="L70" s="51" t="n">
        <f aca="false">SUM(L63:L69)</f>
        <v>3851.25275</v>
      </c>
      <c r="M70" s="51" t="n">
        <f aca="false">SUM(M63:M69)</f>
        <v>500.6628575</v>
      </c>
      <c r="N70" s="51" t="n">
        <f aca="false">$L70+$M70</f>
        <v>4351.9156075</v>
      </c>
      <c r="O70" s="51" t="n">
        <f aca="false">SUM(O63:O69)</f>
        <v>18623.0843925</v>
      </c>
      <c r="P70" s="52" t="n">
        <f aca="false">IF($C70=0,"N/A",$O70/$C70)</f>
        <v>0.00154680056699706</v>
      </c>
    </row>
    <row r="73" customFormat="false" ht="19.7" hidden="false" customHeight="false" outlineLevel="0" collapsed="false">
      <c r="A73" s="1" t="s">
        <v>155</v>
      </c>
    </row>
    <row r="74" customFormat="false" ht="15" hidden="false" customHeight="false" outlineLevel="0" collapsed="false">
      <c r="A74" s="2" t="s">
        <v>132</v>
      </c>
      <c r="D74" s="31" t="s">
        <v>133</v>
      </c>
    </row>
    <row r="75" customFormat="false" ht="15" hidden="false" customHeight="false" outlineLevel="0" collapsed="false">
      <c r="A75" s="3" t="s">
        <v>134</v>
      </c>
      <c r="B75" s="27" t="n">
        <v>46254</v>
      </c>
      <c r="D75" s="3" t="s">
        <v>135</v>
      </c>
      <c r="E75" s="47" t="n">
        <f aca="false">C94</f>
        <v>10062968</v>
      </c>
    </row>
    <row r="76" customFormat="false" ht="15" hidden="false" customHeight="false" outlineLevel="0" collapsed="false">
      <c r="A76" s="3" t="s">
        <v>136</v>
      </c>
      <c r="B76" s="28" t="s">
        <v>137</v>
      </c>
      <c r="D76" s="3" t="s">
        <v>138</v>
      </c>
      <c r="E76" s="47" t="n">
        <f aca="false">F94</f>
        <v>10084864.51</v>
      </c>
    </row>
    <row r="77" customFormat="false" ht="15" hidden="false" customHeight="false" outlineLevel="0" collapsed="false">
      <c r="A77" s="3" t="s">
        <v>139</v>
      </c>
      <c r="B77" s="28" t="s">
        <v>151</v>
      </c>
      <c r="D77" s="3" t="s">
        <v>11</v>
      </c>
      <c r="E77" s="47" t="n">
        <f aca="false">J94</f>
        <v>21896.51</v>
      </c>
    </row>
    <row r="78" customFormat="false" ht="15" hidden="false" customHeight="false" outlineLevel="0" collapsed="false">
      <c r="A78" s="3" t="s">
        <v>141</v>
      </c>
      <c r="B78" s="28" t="s">
        <v>142</v>
      </c>
      <c r="D78" s="3" t="s">
        <v>13</v>
      </c>
      <c r="E78" s="47" t="n">
        <f aca="false">L94</f>
        <v>3277.58096575</v>
      </c>
    </row>
    <row r="79" customFormat="false" ht="15" hidden="false" customHeight="false" outlineLevel="0" collapsed="false">
      <c r="A79" s="3" t="s">
        <v>143</v>
      </c>
      <c r="B79" s="28" t="s">
        <v>144</v>
      </c>
      <c r="D79" s="3" t="s">
        <v>15</v>
      </c>
      <c r="E79" s="47" t="n">
        <f aca="false">M94</f>
        <v>426.0855255475</v>
      </c>
    </row>
    <row r="80" customFormat="false" ht="15" hidden="false" customHeight="false" outlineLevel="0" collapsed="false">
      <c r="A80" s="3" t="s">
        <v>145</v>
      </c>
      <c r="B80" s="28" t="s">
        <v>156</v>
      </c>
      <c r="D80" s="3" t="s">
        <v>147</v>
      </c>
      <c r="E80" s="47" t="n">
        <f aca="false">N94</f>
        <v>3703.6664912975</v>
      </c>
    </row>
    <row r="81" customFormat="false" ht="15" hidden="false" customHeight="false" outlineLevel="0" collapsed="false">
      <c r="D81" s="3" t="s">
        <v>16</v>
      </c>
      <c r="E81" s="47" t="n">
        <f aca="false">O94</f>
        <v>18192.8435087025</v>
      </c>
    </row>
    <row r="82" customFormat="false" ht="15" hidden="false" customHeight="false" outlineLevel="0" collapsed="false">
      <c r="D82" s="3" t="s">
        <v>8</v>
      </c>
      <c r="E82" s="48" t="n">
        <f aca="false">P94</f>
        <v>0.0018079003638591</v>
      </c>
    </row>
    <row r="83" customFormat="false" ht="15" hidden="false" customHeight="false" outlineLevel="0" collapsed="false">
      <c r="D83" s="3" t="s">
        <v>148</v>
      </c>
      <c r="E83" s="49" t="n">
        <f aca="false">I94</f>
        <v>0</v>
      </c>
    </row>
    <row r="84" customFormat="false" ht="15" hidden="false" customHeight="false" outlineLevel="0" collapsed="false">
      <c r="A84" s="31" t="s">
        <v>149</v>
      </c>
    </row>
    <row r="85" customFormat="false" ht="30" hidden="false" customHeight="true" outlineLevel="0" collapsed="false">
      <c r="A85" s="18" t="s">
        <v>71</v>
      </c>
      <c r="B85" s="18" t="s">
        <v>33</v>
      </c>
      <c r="C85" s="18" t="s">
        <v>36</v>
      </c>
      <c r="D85" s="18" t="s">
        <v>60</v>
      </c>
      <c r="E85" s="18" t="s">
        <v>34</v>
      </c>
      <c r="F85" s="18" t="s">
        <v>37</v>
      </c>
      <c r="G85" s="18" t="s">
        <v>61</v>
      </c>
      <c r="H85" s="18" t="s">
        <v>62</v>
      </c>
      <c r="I85" s="18" t="s">
        <v>35</v>
      </c>
      <c r="J85" s="18" t="s">
        <v>38</v>
      </c>
      <c r="K85" s="18" t="s">
        <v>63</v>
      </c>
      <c r="L85" s="18" t="s">
        <v>39</v>
      </c>
      <c r="M85" s="18" t="s">
        <v>64</v>
      </c>
      <c r="N85" s="18" t="s">
        <v>41</v>
      </c>
      <c r="O85" s="18" t="s">
        <v>7</v>
      </c>
      <c r="P85" s="18" t="s">
        <v>8</v>
      </c>
    </row>
    <row r="86" customFormat="false" ht="15" hidden="false" customHeight="false" outlineLevel="0" collapsed="false">
      <c r="A86" s="6" t="s">
        <v>121</v>
      </c>
      <c r="B86" s="33" t="n">
        <v>1000</v>
      </c>
      <c r="C86" s="33" t="n">
        <v>487753</v>
      </c>
      <c r="D86" s="9" t="n">
        <f aca="false">IF($B86=0,"",$C86/$B86)</f>
        <v>487.753</v>
      </c>
      <c r="E86" s="33" t="n">
        <v>1000</v>
      </c>
      <c r="F86" s="6" t="n">
        <v>490750</v>
      </c>
      <c r="G86" s="9" t="n">
        <f aca="false">IF($E86=0,"",$F86/$E86)</f>
        <v>490.75</v>
      </c>
      <c r="H86" s="9" t="n">
        <f aca="false">IF(OR($B86=0,$E86=0),"N/A",$G86-$D86)</f>
        <v>2.99700000000001</v>
      </c>
      <c r="I86" s="33" t="n">
        <f aca="false">$B86-$E86</f>
        <v>0</v>
      </c>
      <c r="J86" s="9" t="n">
        <f aca="false">$F86-$C86</f>
        <v>2997</v>
      </c>
      <c r="K86" s="6" t="str">
        <f aca="false">IF($E86=0,"—",IF($G86&gt;=Comm_Slab2_Start,"0.0325% of sell value","0.0175 paisa per share"))</f>
        <v>0.0325% of sell value</v>
      </c>
      <c r="L86" s="9" t="n">
        <f aca="false">IF($E86=0,0,IF($G86&gt;=Comm_Slab2_Start,$F86*Comm_Slab2_Rate,$E86*Comm_Slab1_Paisa/Paisa_Per_PKR))</f>
        <v>159.49375</v>
      </c>
      <c r="M86" s="9" t="n">
        <f aca="false">$L86*SST_Rate</f>
        <v>20.7341875</v>
      </c>
      <c r="N86" s="9" t="n">
        <f aca="false">$L86+$M86</f>
        <v>180.2279375</v>
      </c>
      <c r="O86" s="9" t="n">
        <f aca="false">$J86-$N86</f>
        <v>2816.7720625</v>
      </c>
      <c r="P86" s="10" t="n">
        <f aca="false">IF($C86=0,"N/A",$O86/$C86)</f>
        <v>0.00577499689904521</v>
      </c>
    </row>
    <row r="87" customFormat="false" ht="15" hidden="false" customHeight="false" outlineLevel="0" collapsed="false">
      <c r="A87" s="6" t="s">
        <v>76</v>
      </c>
      <c r="B87" s="33" t="n">
        <v>1000</v>
      </c>
      <c r="C87" s="33" t="n">
        <v>493500</v>
      </c>
      <c r="D87" s="9" t="n">
        <f aca="false">IF($B87=0,"",$C87/$B87)</f>
        <v>493.5</v>
      </c>
      <c r="E87" s="33" t="n">
        <v>1000</v>
      </c>
      <c r="F87" s="6" t="n">
        <v>494800</v>
      </c>
      <c r="G87" s="9" t="n">
        <f aca="false">IF($E87=0,"",$F87/$E87)</f>
        <v>494.8</v>
      </c>
      <c r="H87" s="9" t="n">
        <f aca="false">IF(OR($B87=0,$E87=0),"N/A",$G87-$D87)</f>
        <v>1.30000000000001</v>
      </c>
      <c r="I87" s="33" t="n">
        <f aca="false">$B87-$E87</f>
        <v>0</v>
      </c>
      <c r="J87" s="9" t="n">
        <f aca="false">$F87-$C87</f>
        <v>1300</v>
      </c>
      <c r="K87" s="6" t="str">
        <f aca="false">IF($E87=0,"—",IF($G87&gt;=Comm_Slab2_Start,"0.0325% of sell value","0.0175 paisa per share"))</f>
        <v>0.0325% of sell value</v>
      </c>
      <c r="L87" s="9" t="n">
        <f aca="false">IF($E87=0,0,IF($G87&gt;=Comm_Slab2_Start,$F87*Comm_Slab2_Rate,$E87*Comm_Slab1_Paisa/Paisa_Per_PKR))</f>
        <v>160.81</v>
      </c>
      <c r="M87" s="9" t="n">
        <f aca="false">$L87*SST_Rate</f>
        <v>20.9053</v>
      </c>
      <c r="N87" s="9" t="n">
        <f aca="false">$L87+$M87</f>
        <v>181.7153</v>
      </c>
      <c r="O87" s="9" t="n">
        <f aca="false">$J87-$N87</f>
        <v>1118.2847</v>
      </c>
      <c r="P87" s="10" t="n">
        <f aca="false">IF($C87=0,"N/A",$O87/$C87)</f>
        <v>0.00226602776089159</v>
      </c>
    </row>
    <row r="88" customFormat="false" ht="15" hidden="false" customHeight="false" outlineLevel="0" collapsed="false">
      <c r="A88" s="6" t="s">
        <v>92</v>
      </c>
      <c r="B88" s="33" t="n">
        <v>500</v>
      </c>
      <c r="C88" s="33" t="n">
        <v>159850</v>
      </c>
      <c r="D88" s="9" t="n">
        <f aca="false">IF($B88=0,"",$C88/$B88)</f>
        <v>319.7</v>
      </c>
      <c r="E88" s="33" t="n">
        <v>500</v>
      </c>
      <c r="F88" s="6" t="n">
        <v>159975</v>
      </c>
      <c r="G88" s="9" t="n">
        <f aca="false">IF($E88=0,"",$F88/$E88)</f>
        <v>319.95</v>
      </c>
      <c r="H88" s="9" t="n">
        <f aca="false">IF(OR($B88=0,$E88=0),"N/A",$G88-$D88)</f>
        <v>0.25</v>
      </c>
      <c r="I88" s="33" t="n">
        <f aca="false">$B88-$E88</f>
        <v>0</v>
      </c>
      <c r="J88" s="9" t="n">
        <f aca="false">$F88-$C88</f>
        <v>125</v>
      </c>
      <c r="K88" s="6" t="str">
        <f aca="false">IF($E88=0,"—",IF($G88&gt;=Comm_Slab2_Start,"0.0325% of sell value","0.0175 paisa per share"))</f>
        <v>0.0325% of sell value</v>
      </c>
      <c r="L88" s="9" t="n">
        <f aca="false">IF($E88=0,0,IF($G88&gt;=Comm_Slab2_Start,$F88*Comm_Slab2_Rate,$E88*Comm_Slab1_Paisa/Paisa_Per_PKR))</f>
        <v>51.991875</v>
      </c>
      <c r="M88" s="9" t="n">
        <f aca="false">$L88*SST_Rate</f>
        <v>6.75894375</v>
      </c>
      <c r="N88" s="9" t="n">
        <f aca="false">$L88+$M88</f>
        <v>58.75081875</v>
      </c>
      <c r="O88" s="9" t="n">
        <f aca="false">$J88-$N88</f>
        <v>66.24918125</v>
      </c>
      <c r="P88" s="10" t="n">
        <f aca="false">IF($C88=0,"N/A",$O88/$C88)</f>
        <v>0.000414445925868001</v>
      </c>
    </row>
    <row r="89" customFormat="false" ht="15" hidden="false" customHeight="false" outlineLevel="0" collapsed="false">
      <c r="A89" s="6" t="s">
        <v>124</v>
      </c>
      <c r="B89" s="33" t="n">
        <v>10000</v>
      </c>
      <c r="C89" s="33" t="n">
        <v>3210950</v>
      </c>
      <c r="D89" s="9" t="n">
        <f aca="false">IF($B89=0,"",$C89/$B89)</f>
        <v>321.095</v>
      </c>
      <c r="E89" s="33" t="n">
        <v>10000</v>
      </c>
      <c r="F89" s="6" t="n">
        <v>3214600</v>
      </c>
      <c r="G89" s="9" t="n">
        <f aca="false">IF($E89=0,"",$F89/$E89)</f>
        <v>321.46</v>
      </c>
      <c r="H89" s="9" t="n">
        <f aca="false">IF(OR($B89=0,$E89=0),"N/A",$G89-$D89)</f>
        <v>0.364999999999952</v>
      </c>
      <c r="I89" s="33" t="n">
        <f aca="false">$B89-$E89</f>
        <v>0</v>
      </c>
      <c r="J89" s="9" t="n">
        <f aca="false">$F89-$C89</f>
        <v>3650</v>
      </c>
      <c r="K89" s="6" t="str">
        <f aca="false">IF($E89=0,"—",IF($G89&gt;=Comm_Slab2_Start,"0.0325% of sell value","0.0175 paisa per share"))</f>
        <v>0.0325% of sell value</v>
      </c>
      <c r="L89" s="9" t="n">
        <f aca="false">IF($E89=0,0,IF($G89&gt;=Comm_Slab2_Start,$F89*Comm_Slab2_Rate,$E89*Comm_Slab1_Paisa/Paisa_Per_PKR))</f>
        <v>1044.745</v>
      </c>
      <c r="M89" s="9" t="n">
        <f aca="false">$L89*SST_Rate</f>
        <v>135.81685</v>
      </c>
      <c r="N89" s="9" t="n">
        <f aca="false">$L89+$M89</f>
        <v>1180.56185</v>
      </c>
      <c r="O89" s="9" t="n">
        <f aca="false">$J89-$N89</f>
        <v>2469.43815</v>
      </c>
      <c r="P89" s="10" t="n">
        <f aca="false">IF($C89=0,"N/A",$O89/$C89)</f>
        <v>0.000769067768106012</v>
      </c>
    </row>
    <row r="90" customFormat="false" ht="15" hidden="false" customHeight="false" outlineLevel="0" collapsed="false">
      <c r="A90" s="6" t="s">
        <v>77</v>
      </c>
      <c r="B90" s="33" t="n">
        <v>5000</v>
      </c>
      <c r="C90" s="33" t="n">
        <v>1192545</v>
      </c>
      <c r="D90" s="9" t="n">
        <f aca="false">IF($B90=0,"",$C90/$B90)</f>
        <v>238.509</v>
      </c>
      <c r="E90" s="33" t="n">
        <v>5000</v>
      </c>
      <c r="F90" s="6" t="n">
        <v>1193550</v>
      </c>
      <c r="G90" s="9" t="n">
        <f aca="false">IF($E90=0,"",$F90/$E90)</f>
        <v>238.71</v>
      </c>
      <c r="H90" s="9" t="n">
        <f aca="false">IF(OR($B90=0,$E90=0),"N/A",$G90-$D90)</f>
        <v>0.201000000000022</v>
      </c>
      <c r="I90" s="33" t="n">
        <f aca="false">$B90-$E90</f>
        <v>0</v>
      </c>
      <c r="J90" s="9" t="n">
        <f aca="false">$F90-$C90</f>
        <v>1005</v>
      </c>
      <c r="K90" s="6" t="str">
        <f aca="false">IF($E90=0,"—",IF($G90&gt;=Comm_Slab2_Start,"0.0325% of sell value","0.0175 paisa per share"))</f>
        <v>0.0325% of sell value</v>
      </c>
      <c r="L90" s="9" t="n">
        <f aca="false">IF($E90=0,0,IF($G90&gt;=Comm_Slab2_Start,$F90*Comm_Slab2_Rate,$E90*Comm_Slab1_Paisa/Paisa_Per_PKR))</f>
        <v>387.90375</v>
      </c>
      <c r="M90" s="9" t="n">
        <f aca="false">$L90*SST_Rate</f>
        <v>50.4274875</v>
      </c>
      <c r="N90" s="9" t="n">
        <f aca="false">$L90+$M90</f>
        <v>438.3312375</v>
      </c>
      <c r="O90" s="9" t="n">
        <f aca="false">$J90-$N90</f>
        <v>566.6687625</v>
      </c>
      <c r="P90" s="10" t="n">
        <f aca="false">IF($C90=0,"N/A",$O90/$C90)</f>
        <v>0.000475175999647812</v>
      </c>
    </row>
    <row r="91" customFormat="false" ht="15" hidden="false" customHeight="false" outlineLevel="0" collapsed="false">
      <c r="A91" s="6" t="s">
        <v>75</v>
      </c>
      <c r="B91" s="33" t="n">
        <v>10000</v>
      </c>
      <c r="C91" s="33" t="n">
        <v>827000</v>
      </c>
      <c r="D91" s="9" t="n">
        <f aca="false">IF($B91=0,"",$C91/$B91)</f>
        <v>82.7</v>
      </c>
      <c r="E91" s="33" t="n">
        <v>10000</v>
      </c>
      <c r="F91" s="6" t="n">
        <v>829249.51</v>
      </c>
      <c r="G91" s="9" t="n">
        <f aca="false">IF($E91=0,"",$F91/$E91)</f>
        <v>82.924951</v>
      </c>
      <c r="H91" s="9" t="n">
        <f aca="false">IF(OR($B91=0,$E91=0),"N/A",$G91-$D91)</f>
        <v>0.224951000000004</v>
      </c>
      <c r="I91" s="33" t="n">
        <f aca="false">$B91-$E91</f>
        <v>0</v>
      </c>
      <c r="J91" s="9" t="n">
        <f aca="false">$F91-$C91</f>
        <v>2249.51000000001</v>
      </c>
      <c r="K91" s="6" t="str">
        <f aca="false">IF($E91=0,"—",IF($G91&gt;=Comm_Slab2_Start,"0.0325% of sell value","0.0175 paisa per share"))</f>
        <v>0.0325% of sell value</v>
      </c>
      <c r="L91" s="9" t="n">
        <f aca="false">IF($E91=0,0,IF($G91&gt;=Comm_Slab2_Start,$F91*Comm_Slab2_Rate,$E91*Comm_Slab1_Paisa/Paisa_Per_PKR))</f>
        <v>269.50609075</v>
      </c>
      <c r="M91" s="9" t="n">
        <f aca="false">$L91*SST_Rate</f>
        <v>35.0357917975</v>
      </c>
      <c r="N91" s="9" t="n">
        <f aca="false">$L91+$M91</f>
        <v>304.5418825475</v>
      </c>
      <c r="O91" s="9" t="n">
        <f aca="false">$J91-$N91</f>
        <v>1944.96811745251</v>
      </c>
      <c r="P91" s="10" t="n">
        <f aca="false">IF($C91=0,"N/A",$O91/$C91)</f>
        <v>0.00235183569220376</v>
      </c>
    </row>
    <row r="92" customFormat="false" ht="15" hidden="false" customHeight="false" outlineLevel="0" collapsed="false">
      <c r="A92" s="6" t="s">
        <v>72</v>
      </c>
      <c r="B92" s="33" t="n">
        <v>33500</v>
      </c>
      <c r="C92" s="33" t="n">
        <v>2752815</v>
      </c>
      <c r="D92" s="9" t="n">
        <f aca="false">IF($B92=0,"",$C92/$B92)</f>
        <v>82.1735820895522</v>
      </c>
      <c r="E92" s="33" t="n">
        <v>33500</v>
      </c>
      <c r="F92" s="6" t="n">
        <v>2761315</v>
      </c>
      <c r="G92" s="9" t="n">
        <f aca="false">IF($E92=0,"",$F92/$E92)</f>
        <v>82.4273134328358</v>
      </c>
      <c r="H92" s="9" t="n">
        <f aca="false">IF(OR($B92=0,$E92=0),"N/A",$G92-$D92)</f>
        <v>0.253731343283576</v>
      </c>
      <c r="I92" s="33" t="n">
        <f aca="false">$B92-$E92</f>
        <v>0</v>
      </c>
      <c r="J92" s="9" t="n">
        <f aca="false">$F92-$C92</f>
        <v>8500</v>
      </c>
      <c r="K92" s="6" t="str">
        <f aca="false">IF($E92=0,"—",IF($G92&gt;=Comm_Slab2_Start,"0.0325% of sell value","0.0175 paisa per share"))</f>
        <v>0.0325% of sell value</v>
      </c>
      <c r="L92" s="9" t="n">
        <f aca="false">IF($E92=0,0,IF($G92&gt;=Comm_Slab2_Start,$F92*Comm_Slab2_Rate,$E92*Comm_Slab1_Paisa/Paisa_Per_PKR))</f>
        <v>897.427375</v>
      </c>
      <c r="M92" s="9" t="n">
        <f aca="false">$L92*SST_Rate</f>
        <v>116.66555875</v>
      </c>
      <c r="N92" s="9" t="n">
        <f aca="false">$L92+$M92</f>
        <v>1014.09293375</v>
      </c>
      <c r="O92" s="9" t="n">
        <f aca="false">$J92-$N92</f>
        <v>7485.90706625</v>
      </c>
      <c r="P92" s="10" t="n">
        <f aca="false">IF($C92=0,"N/A",$O92/$C92)</f>
        <v>0.00271936438382165</v>
      </c>
    </row>
    <row r="93" customFormat="false" ht="15" hidden="false" customHeight="false" outlineLevel="0" collapsed="false">
      <c r="A93" s="6" t="s">
        <v>107</v>
      </c>
      <c r="B93" s="33" t="n">
        <v>2500</v>
      </c>
      <c r="C93" s="33" t="n">
        <v>938555</v>
      </c>
      <c r="D93" s="9" t="n">
        <f aca="false">IF($B93=0,"",$C93/$B93)</f>
        <v>375.422</v>
      </c>
      <c r="E93" s="33" t="n">
        <v>2500</v>
      </c>
      <c r="F93" s="6" t="n">
        <v>940625</v>
      </c>
      <c r="G93" s="9" t="n">
        <f aca="false">IF($E93=0,"",$F93/$E93)</f>
        <v>376.25</v>
      </c>
      <c r="H93" s="9" t="n">
        <f aca="false">IF(OR($B93=0,$E93=0),"N/A",$G93-$D93)</f>
        <v>0.827999999999975</v>
      </c>
      <c r="I93" s="33" t="n">
        <f aca="false">$B93-$E93</f>
        <v>0</v>
      </c>
      <c r="J93" s="9" t="n">
        <f aca="false">$F93-$C93</f>
        <v>2070</v>
      </c>
      <c r="K93" s="6" t="str">
        <f aca="false">IF($E93=0,"—",IF($G93&gt;=Comm_Slab2_Start,"0.0325% of sell value","0.0175 paisa per share"))</f>
        <v>0.0325% of sell value</v>
      </c>
      <c r="L93" s="9" t="n">
        <f aca="false">IF($E93=0,0,IF($G93&gt;=Comm_Slab2_Start,$F93*Comm_Slab2_Rate,$E93*Comm_Slab1_Paisa/Paisa_Per_PKR))</f>
        <v>305.703125</v>
      </c>
      <c r="M93" s="9" t="n">
        <f aca="false">$L93*SST_Rate</f>
        <v>39.74140625</v>
      </c>
      <c r="N93" s="9" t="n">
        <f aca="false">$L93+$M93</f>
        <v>345.44453125</v>
      </c>
      <c r="O93" s="9" t="n">
        <f aca="false">$J93-$N93</f>
        <v>1724.55546875</v>
      </c>
      <c r="P93" s="10" t="n">
        <f aca="false">IF($C93=0,"N/A",$O93/$C93)</f>
        <v>0.00183745808050674</v>
      </c>
    </row>
    <row r="94" customFormat="false" ht="15" hidden="false" customHeight="false" outlineLevel="0" collapsed="false">
      <c r="A94" s="29" t="s">
        <v>42</v>
      </c>
      <c r="B94" s="50" t="n">
        <f aca="false">SUM(B86:B93)</f>
        <v>63500</v>
      </c>
      <c r="C94" s="50" t="n">
        <f aca="false">SUM(C86:C93)</f>
        <v>10062968</v>
      </c>
      <c r="D94" s="51" t="n">
        <f aca="false">IF($B94=0,"",$C94/$B94)</f>
        <v>158.471937007874</v>
      </c>
      <c r="E94" s="50" t="n">
        <f aca="false">SUM(E86:E93)</f>
        <v>63500</v>
      </c>
      <c r="F94" s="29" t="n">
        <f aca="false">SUM(F86:F93)</f>
        <v>10084864.51</v>
      </c>
      <c r="G94" s="51" t="n">
        <f aca="false">IF($E94=0,"",$F94/$E94)</f>
        <v>158.816763937008</v>
      </c>
      <c r="H94" s="51" t="n">
        <f aca="false">IF(OR($B94=0,$E94=0),"N/A",$G94-$D94)</f>
        <v>0.344826929133859</v>
      </c>
      <c r="I94" s="50" t="n">
        <f aca="false">$B94-$E94</f>
        <v>0</v>
      </c>
      <c r="J94" s="51" t="n">
        <f aca="false">SUM(J86:J93)</f>
        <v>21896.51</v>
      </c>
      <c r="K94" s="29"/>
      <c r="L94" s="51" t="n">
        <f aca="false">SUM(L86:L93)</f>
        <v>3277.58096575</v>
      </c>
      <c r="M94" s="51" t="n">
        <f aca="false">SUM(M86:M93)</f>
        <v>426.0855255475</v>
      </c>
      <c r="N94" s="51" t="n">
        <f aca="false">$L94+$M94</f>
        <v>3703.6664912975</v>
      </c>
      <c r="O94" s="51" t="n">
        <f aca="false">SUM(O86:O93)</f>
        <v>18192.8435087025</v>
      </c>
      <c r="P94" s="52" t="n">
        <f aca="false">IF($C94=0,"N/A",$O94/$C94)</f>
        <v>0.0018079003638591</v>
      </c>
    </row>
    <row r="97" customFormat="false" ht="19.7" hidden="false" customHeight="false" outlineLevel="0" collapsed="false">
      <c r="A97" s="1" t="s">
        <v>157</v>
      </c>
    </row>
    <row r="98" customFormat="false" ht="15" hidden="false" customHeight="false" outlineLevel="0" collapsed="false">
      <c r="A98" s="2" t="s">
        <v>132</v>
      </c>
      <c r="D98" s="31" t="s">
        <v>133</v>
      </c>
    </row>
    <row r="99" customFormat="false" ht="15" hidden="false" customHeight="false" outlineLevel="0" collapsed="false">
      <c r="A99" s="3" t="s">
        <v>134</v>
      </c>
      <c r="B99" s="27" t="n">
        <v>46255</v>
      </c>
      <c r="D99" s="3" t="s">
        <v>135</v>
      </c>
      <c r="E99" s="47" t="n">
        <f aca="false">C117</f>
        <v>8763519.97</v>
      </c>
    </row>
    <row r="100" customFormat="false" ht="15" hidden="false" customHeight="false" outlineLevel="0" collapsed="false">
      <c r="A100" s="3" t="s">
        <v>136</v>
      </c>
      <c r="B100" s="28" t="s">
        <v>137</v>
      </c>
      <c r="D100" s="3" t="s">
        <v>138</v>
      </c>
      <c r="E100" s="47" t="n">
        <f aca="false">F117</f>
        <v>8772484.26</v>
      </c>
    </row>
    <row r="101" customFormat="false" ht="15" hidden="false" customHeight="false" outlineLevel="0" collapsed="false">
      <c r="A101" s="3" t="s">
        <v>139</v>
      </c>
      <c r="B101" s="28" t="s">
        <v>151</v>
      </c>
      <c r="D101" s="3" t="s">
        <v>11</v>
      </c>
      <c r="E101" s="47" t="n">
        <f aca="false">J117</f>
        <v>8964.28999999957</v>
      </c>
    </row>
    <row r="102" customFormat="false" ht="15" hidden="false" customHeight="false" outlineLevel="0" collapsed="false">
      <c r="A102" s="3" t="s">
        <v>141</v>
      </c>
      <c r="B102" s="28" t="s">
        <v>142</v>
      </c>
      <c r="D102" s="3" t="s">
        <v>13</v>
      </c>
      <c r="E102" s="47" t="n">
        <f aca="false">L117</f>
        <v>2851.0573845</v>
      </c>
    </row>
    <row r="103" customFormat="false" ht="15" hidden="false" customHeight="false" outlineLevel="0" collapsed="false">
      <c r="A103" s="3" t="s">
        <v>143</v>
      </c>
      <c r="B103" s="28" t="s">
        <v>144</v>
      </c>
      <c r="D103" s="3" t="s">
        <v>15</v>
      </c>
      <c r="E103" s="47" t="n">
        <f aca="false">M117</f>
        <v>370.637459985</v>
      </c>
    </row>
    <row r="104" customFormat="false" ht="15" hidden="false" customHeight="false" outlineLevel="0" collapsed="false">
      <c r="A104" s="3" t="s">
        <v>145</v>
      </c>
      <c r="B104" s="28" t="s">
        <v>158</v>
      </c>
      <c r="D104" s="3" t="s">
        <v>147</v>
      </c>
      <c r="E104" s="47" t="n">
        <f aca="false">N117</f>
        <v>3221.694844485</v>
      </c>
    </row>
    <row r="105" customFormat="false" ht="15" hidden="false" customHeight="false" outlineLevel="0" collapsed="false">
      <c r="D105" s="3" t="s">
        <v>16</v>
      </c>
      <c r="E105" s="47" t="n">
        <f aca="false">O117</f>
        <v>5742.59515551457</v>
      </c>
    </row>
    <row r="106" customFormat="false" ht="15" hidden="false" customHeight="false" outlineLevel="0" collapsed="false">
      <c r="D106" s="3" t="s">
        <v>8</v>
      </c>
      <c r="E106" s="48" t="n">
        <f aca="false">P117</f>
        <v>0.000655284083926675</v>
      </c>
    </row>
    <row r="107" customFormat="false" ht="15" hidden="false" customHeight="false" outlineLevel="0" collapsed="false">
      <c r="D107" s="3" t="s">
        <v>148</v>
      </c>
      <c r="E107" s="49" t="n">
        <f aca="false">I117</f>
        <v>0</v>
      </c>
    </row>
    <row r="108" customFormat="false" ht="15" hidden="false" customHeight="false" outlineLevel="0" collapsed="false">
      <c r="A108" s="31" t="s">
        <v>149</v>
      </c>
    </row>
    <row r="109" customFormat="false" ht="30" hidden="false" customHeight="true" outlineLevel="0" collapsed="false">
      <c r="A109" s="18" t="s">
        <v>71</v>
      </c>
      <c r="B109" s="18" t="s">
        <v>33</v>
      </c>
      <c r="C109" s="18" t="s">
        <v>36</v>
      </c>
      <c r="D109" s="18" t="s">
        <v>60</v>
      </c>
      <c r="E109" s="18" t="s">
        <v>34</v>
      </c>
      <c r="F109" s="18" t="s">
        <v>37</v>
      </c>
      <c r="G109" s="18" t="s">
        <v>61</v>
      </c>
      <c r="H109" s="18" t="s">
        <v>62</v>
      </c>
      <c r="I109" s="18" t="s">
        <v>35</v>
      </c>
      <c r="J109" s="18" t="s">
        <v>38</v>
      </c>
      <c r="K109" s="18" t="s">
        <v>63</v>
      </c>
      <c r="L109" s="18" t="s">
        <v>39</v>
      </c>
      <c r="M109" s="18" t="s">
        <v>64</v>
      </c>
      <c r="N109" s="18" t="s">
        <v>41</v>
      </c>
      <c r="O109" s="18" t="s">
        <v>7</v>
      </c>
      <c r="P109" s="18" t="s">
        <v>8</v>
      </c>
    </row>
    <row r="110" customFormat="false" ht="15" hidden="false" customHeight="false" outlineLevel="0" collapsed="false">
      <c r="A110" s="6" t="s">
        <v>89</v>
      </c>
      <c r="B110" s="33" t="n">
        <v>500</v>
      </c>
      <c r="C110" s="33" t="n">
        <v>106505</v>
      </c>
      <c r="D110" s="9" t="n">
        <f aca="false">IF($B110=0,"",$C110/$B110)</f>
        <v>213.01</v>
      </c>
      <c r="E110" s="33" t="n">
        <v>500</v>
      </c>
      <c r="F110" s="6" t="n">
        <v>107000</v>
      </c>
      <c r="G110" s="9" t="n">
        <f aca="false">IF($E110=0,"",$F110/$E110)</f>
        <v>214</v>
      </c>
      <c r="H110" s="9" t="n">
        <f aca="false">IF(OR($B110=0,$E110=0),"N/A",$G110-$D110)</f>
        <v>0.990000000000009</v>
      </c>
      <c r="I110" s="33" t="n">
        <f aca="false">$B110-$E110</f>
        <v>0</v>
      </c>
      <c r="J110" s="9" t="n">
        <f aca="false">$F110-$C110</f>
        <v>495</v>
      </c>
      <c r="K110" s="6" t="str">
        <f aca="false">IF($E110=0,"—",IF($G110&gt;=Comm_Slab2_Start,"0.0325% of sell value","0.0175 paisa per share"))</f>
        <v>0.0325% of sell value</v>
      </c>
      <c r="L110" s="9" t="n">
        <f aca="false">IF($E110=0,0,IF($G110&gt;=Comm_Slab2_Start,$F110*Comm_Slab2_Rate,$E110*Comm_Slab1_Paisa/Paisa_Per_PKR))</f>
        <v>34.775</v>
      </c>
      <c r="M110" s="9" t="n">
        <f aca="false">$L110*SST_Rate</f>
        <v>4.52075</v>
      </c>
      <c r="N110" s="9" t="n">
        <f aca="false">$L110+$M110</f>
        <v>39.29575</v>
      </c>
      <c r="O110" s="9" t="n">
        <f aca="false">$J110-$N110</f>
        <v>455.70425</v>
      </c>
      <c r="P110" s="10" t="n">
        <f aca="false">IF($C110=0,"N/A",$O110/$C110)</f>
        <v>0.00427871226702972</v>
      </c>
    </row>
    <row r="111" customFormat="false" ht="15" hidden="false" customHeight="false" outlineLevel="0" collapsed="false">
      <c r="A111" s="6" t="s">
        <v>98</v>
      </c>
      <c r="B111" s="33" t="n">
        <v>530</v>
      </c>
      <c r="C111" s="33" t="n">
        <v>62672.5</v>
      </c>
      <c r="D111" s="9" t="n">
        <f aca="false">IF($B111=0,"",$C111/$B111)</f>
        <v>118.25</v>
      </c>
      <c r="E111" s="33" t="n">
        <v>530</v>
      </c>
      <c r="F111" s="6" t="n">
        <v>63600</v>
      </c>
      <c r="G111" s="9" t="n">
        <f aca="false">IF($E111=0,"",$F111/$E111)</f>
        <v>120</v>
      </c>
      <c r="H111" s="9" t="n">
        <f aca="false">IF(OR($B111=0,$E111=0),"N/A",$G111-$D111)</f>
        <v>1.75</v>
      </c>
      <c r="I111" s="33" t="n">
        <f aca="false">$B111-$E111</f>
        <v>0</v>
      </c>
      <c r="J111" s="9" t="n">
        <f aca="false">$F111-$C111</f>
        <v>927.5</v>
      </c>
      <c r="K111" s="6" t="str">
        <f aca="false">IF($E111=0,"—",IF($G111&gt;=Comm_Slab2_Start,"0.0325% of sell value","0.0175 paisa per share"))</f>
        <v>0.0325% of sell value</v>
      </c>
      <c r="L111" s="9" t="n">
        <f aca="false">IF($E111=0,0,IF($G111&gt;=Comm_Slab2_Start,$F111*Comm_Slab2_Rate,$E111*Comm_Slab1_Paisa/Paisa_Per_PKR))</f>
        <v>20.67</v>
      </c>
      <c r="M111" s="9" t="n">
        <f aca="false">$L111*SST_Rate</f>
        <v>2.6871</v>
      </c>
      <c r="N111" s="9" t="n">
        <f aca="false">$L111+$M111</f>
        <v>23.3571</v>
      </c>
      <c r="O111" s="9" t="n">
        <f aca="false">$J111-$N111</f>
        <v>904.1429</v>
      </c>
      <c r="P111" s="10" t="n">
        <f aca="false">IF($C111=0,"N/A",$O111/$C111)</f>
        <v>0.0144264693446089</v>
      </c>
    </row>
    <row r="112" customFormat="false" ht="15" hidden="false" customHeight="false" outlineLevel="0" collapsed="false">
      <c r="A112" s="6" t="s">
        <v>121</v>
      </c>
      <c r="B112" s="33" t="n">
        <v>1500</v>
      </c>
      <c r="C112" s="33" t="n">
        <v>741750</v>
      </c>
      <c r="D112" s="9" t="n">
        <f aca="false">IF($B112=0,"",$C112/$B112)</f>
        <v>494.5</v>
      </c>
      <c r="E112" s="33" t="n">
        <v>1500</v>
      </c>
      <c r="F112" s="6" t="n">
        <v>741675</v>
      </c>
      <c r="G112" s="9" t="n">
        <f aca="false">IF($E112=0,"",$F112/$E112)</f>
        <v>494.45</v>
      </c>
      <c r="H112" s="9" t="n">
        <f aca="false">IF(OR($B112=0,$E112=0),"N/A",$G112-$D112)</f>
        <v>-0.0500000000000114</v>
      </c>
      <c r="I112" s="33" t="n">
        <f aca="false">$B112-$E112</f>
        <v>0</v>
      </c>
      <c r="J112" s="9" t="n">
        <f aca="false">$F112-$C112</f>
        <v>-75</v>
      </c>
      <c r="K112" s="6" t="str">
        <f aca="false">IF($E112=0,"—",IF($G112&gt;=Comm_Slab2_Start,"0.0325% of sell value","0.0175 paisa per share"))</f>
        <v>0.0325% of sell value</v>
      </c>
      <c r="L112" s="9" t="n">
        <f aca="false">IF($E112=0,0,IF($G112&gt;=Comm_Slab2_Start,$F112*Comm_Slab2_Rate,$E112*Comm_Slab1_Paisa/Paisa_Per_PKR))</f>
        <v>241.044375</v>
      </c>
      <c r="M112" s="9" t="n">
        <f aca="false">$L112*SST_Rate</f>
        <v>31.33576875</v>
      </c>
      <c r="N112" s="9" t="n">
        <f aca="false">$L112+$M112</f>
        <v>272.38014375</v>
      </c>
      <c r="O112" s="9" t="n">
        <f aca="false">$J112-$N112</f>
        <v>-347.38014375</v>
      </c>
      <c r="P112" s="10" t="n">
        <f aca="false">IF($C112=0,"N/A",$O112/$C112)</f>
        <v>-0.000468325101112235</v>
      </c>
    </row>
    <row r="113" customFormat="false" ht="15" hidden="false" customHeight="false" outlineLevel="0" collapsed="false">
      <c r="A113" s="6" t="s">
        <v>76</v>
      </c>
      <c r="B113" s="33" t="n">
        <v>2000</v>
      </c>
      <c r="C113" s="33" t="n">
        <v>1026000</v>
      </c>
      <c r="D113" s="9" t="n">
        <f aca="false">IF($B113=0,"",$C113/$B113)</f>
        <v>513</v>
      </c>
      <c r="E113" s="33" t="n">
        <v>2000</v>
      </c>
      <c r="F113" s="6" t="n">
        <v>1028100</v>
      </c>
      <c r="G113" s="9" t="n">
        <f aca="false">IF($E113=0,"",$F113/$E113)</f>
        <v>514.05</v>
      </c>
      <c r="H113" s="9" t="n">
        <f aca="false">IF(OR($B113=0,$E113=0),"N/A",$G113-$D113)</f>
        <v>1.04999999999995</v>
      </c>
      <c r="I113" s="33" t="n">
        <f aca="false">$B113-$E113</f>
        <v>0</v>
      </c>
      <c r="J113" s="9" t="n">
        <f aca="false">$F113-$C113</f>
        <v>2100</v>
      </c>
      <c r="K113" s="6" t="str">
        <f aca="false">IF($E113=0,"—",IF($G113&gt;=Comm_Slab2_Start,"0.0325% of sell value","0.0175 paisa per share"))</f>
        <v>0.0325% of sell value</v>
      </c>
      <c r="L113" s="9" t="n">
        <f aca="false">IF($E113=0,0,IF($G113&gt;=Comm_Slab2_Start,$F113*Comm_Slab2_Rate,$E113*Comm_Slab1_Paisa/Paisa_Per_PKR))</f>
        <v>334.1325</v>
      </c>
      <c r="M113" s="9" t="n">
        <f aca="false">$L113*SST_Rate</f>
        <v>43.437225</v>
      </c>
      <c r="N113" s="9" t="n">
        <f aca="false">$L113+$M113</f>
        <v>377.569725</v>
      </c>
      <c r="O113" s="9" t="n">
        <f aca="false">$J113-$N113</f>
        <v>1722.430275</v>
      </c>
      <c r="P113" s="10" t="n">
        <f aca="false">IF($C113=0,"N/A",$O113/$C113)</f>
        <v>0.00167878194444444</v>
      </c>
    </row>
    <row r="114" customFormat="false" ht="15" hidden="false" customHeight="false" outlineLevel="0" collapsed="false">
      <c r="A114" s="6" t="s">
        <v>115</v>
      </c>
      <c r="B114" s="33" t="n">
        <v>12327</v>
      </c>
      <c r="C114" s="33" t="n">
        <v>2918547.47</v>
      </c>
      <c r="D114" s="9" t="n">
        <f aca="false">IF($B114=0,"",$C114/$B114)</f>
        <v>236.760563803034</v>
      </c>
      <c r="E114" s="33" t="n">
        <v>12327</v>
      </c>
      <c r="F114" s="6" t="n">
        <v>2919449.26</v>
      </c>
      <c r="G114" s="9" t="n">
        <f aca="false">IF($E114=0,"",$F114/$E114)</f>
        <v>236.83371947757</v>
      </c>
      <c r="H114" s="9" t="n">
        <f aca="false">IF(OR($B114=0,$E114=0),"N/A",$G114-$D114)</f>
        <v>0.0731556745355135</v>
      </c>
      <c r="I114" s="33" t="n">
        <f aca="false">$B114-$E114</f>
        <v>0</v>
      </c>
      <c r="J114" s="9" t="n">
        <f aca="false">$F114-$C114</f>
        <v>901.789999999572</v>
      </c>
      <c r="K114" s="6" t="str">
        <f aca="false">IF($E114=0,"—",IF($G114&gt;=Comm_Slab2_Start,"0.0325% of sell value","0.0175 paisa per share"))</f>
        <v>0.0325% of sell value</v>
      </c>
      <c r="L114" s="9" t="n">
        <f aca="false">IF($E114=0,0,IF($G114&gt;=Comm_Slab2_Start,$F114*Comm_Slab2_Rate,$E114*Comm_Slab1_Paisa/Paisa_Per_PKR))</f>
        <v>948.8210095</v>
      </c>
      <c r="M114" s="9" t="n">
        <f aca="false">$L114*SST_Rate</f>
        <v>123.346731235</v>
      </c>
      <c r="N114" s="9" t="n">
        <f aca="false">$L114+$M114</f>
        <v>1072.167740735</v>
      </c>
      <c r="O114" s="9" t="n">
        <f aca="false">$J114-$N114</f>
        <v>-170.377740735428</v>
      </c>
      <c r="P114" s="10" t="n">
        <f aca="false">IF($C114=0,"N/A",$O114/$C114)</f>
        <v>-5.83775807955004E-005</v>
      </c>
    </row>
    <row r="115" customFormat="false" ht="15" hidden="false" customHeight="false" outlineLevel="0" collapsed="false">
      <c r="A115" s="6" t="s">
        <v>72</v>
      </c>
      <c r="B115" s="33" t="n">
        <v>23500</v>
      </c>
      <c r="C115" s="33" t="n">
        <v>2033060</v>
      </c>
      <c r="D115" s="9" t="n">
        <f aca="false">IF($B115=0,"",$C115/$B115)</f>
        <v>86.5131914893617</v>
      </c>
      <c r="E115" s="33" t="n">
        <v>23500</v>
      </c>
      <c r="F115" s="6" t="n">
        <v>2036660</v>
      </c>
      <c r="G115" s="9" t="n">
        <f aca="false">IF($E115=0,"",$F115/$E115)</f>
        <v>86.6663829787234</v>
      </c>
      <c r="H115" s="9" t="n">
        <f aca="false">IF(OR($B115=0,$E115=0),"N/A",$G115-$D115)</f>
        <v>0.153191489361703</v>
      </c>
      <c r="I115" s="33" t="n">
        <f aca="false">$B115-$E115</f>
        <v>0</v>
      </c>
      <c r="J115" s="9" t="n">
        <f aca="false">$F115-$C115</f>
        <v>3600</v>
      </c>
      <c r="K115" s="6" t="str">
        <f aca="false">IF($E115=0,"—",IF($G115&gt;=Comm_Slab2_Start,"0.0325% of sell value","0.0175 paisa per share"))</f>
        <v>0.0325% of sell value</v>
      </c>
      <c r="L115" s="9" t="n">
        <f aca="false">IF($E115=0,0,IF($G115&gt;=Comm_Slab2_Start,$F115*Comm_Slab2_Rate,$E115*Comm_Slab1_Paisa/Paisa_Per_PKR))</f>
        <v>661.9145</v>
      </c>
      <c r="M115" s="9" t="n">
        <f aca="false">$L115*SST_Rate</f>
        <v>86.048885</v>
      </c>
      <c r="N115" s="9" t="n">
        <f aca="false">$L115+$M115</f>
        <v>747.963385</v>
      </c>
      <c r="O115" s="9" t="n">
        <f aca="false">$J115-$N115</f>
        <v>2852.036615</v>
      </c>
      <c r="P115" s="10" t="n">
        <f aca="false">IF($C115=0,"N/A",$O115/$C115)</f>
        <v>0.00140282953528179</v>
      </c>
    </row>
    <row r="116" customFormat="false" ht="15" hidden="false" customHeight="false" outlineLevel="0" collapsed="false">
      <c r="A116" s="6" t="s">
        <v>107</v>
      </c>
      <c r="B116" s="33" t="n">
        <v>5000</v>
      </c>
      <c r="C116" s="33" t="n">
        <v>1874985</v>
      </c>
      <c r="D116" s="9" t="n">
        <f aca="false">IF($B116=0,"",$C116/$B116)</f>
        <v>374.997</v>
      </c>
      <c r="E116" s="33" t="n">
        <v>5000</v>
      </c>
      <c r="F116" s="6" t="n">
        <v>1876000</v>
      </c>
      <c r="G116" s="9" t="n">
        <f aca="false">IF($E116=0,"",$F116/$E116)</f>
        <v>375.2</v>
      </c>
      <c r="H116" s="9" t="n">
        <f aca="false">IF(OR($B116=0,$E116=0),"N/A",$G116-$D116)</f>
        <v>0.202999999999975</v>
      </c>
      <c r="I116" s="33" t="n">
        <f aca="false">$B116-$E116</f>
        <v>0</v>
      </c>
      <c r="J116" s="9" t="n">
        <f aca="false">$F116-$C116</f>
        <v>1015</v>
      </c>
      <c r="K116" s="6" t="str">
        <f aca="false">IF($E116=0,"—",IF($G116&gt;=Comm_Slab2_Start,"0.0325% of sell value","0.0175 paisa per share"))</f>
        <v>0.0325% of sell value</v>
      </c>
      <c r="L116" s="9" t="n">
        <f aca="false">IF($E116=0,0,IF($G116&gt;=Comm_Slab2_Start,$F116*Comm_Slab2_Rate,$E116*Comm_Slab1_Paisa/Paisa_Per_PKR))</f>
        <v>609.7</v>
      </c>
      <c r="M116" s="9" t="n">
        <f aca="false">$L116*SST_Rate</f>
        <v>79.261</v>
      </c>
      <c r="N116" s="9" t="n">
        <f aca="false">$L116+$M116</f>
        <v>688.961</v>
      </c>
      <c r="O116" s="9" t="n">
        <f aca="false">$J116-$N116</f>
        <v>326.039</v>
      </c>
      <c r="P116" s="10" t="n">
        <f aca="false">IF($C116=0,"N/A",$O116/$C116)</f>
        <v>0.000173888857777529</v>
      </c>
    </row>
    <row r="117" customFormat="false" ht="15" hidden="false" customHeight="false" outlineLevel="0" collapsed="false">
      <c r="A117" s="29" t="s">
        <v>42</v>
      </c>
      <c r="B117" s="50" t="n">
        <f aca="false">SUM(B110:B116)</f>
        <v>45357</v>
      </c>
      <c r="C117" s="50" t="n">
        <f aca="false">SUM(C110:C116)</f>
        <v>8763519.97</v>
      </c>
      <c r="D117" s="51" t="n">
        <f aca="false">IF($B117=0,"",$C117/$B117)</f>
        <v>193.212072447472</v>
      </c>
      <c r="E117" s="50" t="n">
        <f aca="false">SUM(E110:E116)</f>
        <v>45357</v>
      </c>
      <c r="F117" s="29" t="n">
        <f aca="false">SUM(F110:F116)</f>
        <v>8772484.26</v>
      </c>
      <c r="G117" s="51" t="n">
        <f aca="false">IF($E117=0,"",$F117/$E117)</f>
        <v>193.40971095972</v>
      </c>
      <c r="H117" s="51" t="n">
        <f aca="false">IF(OR($B117=0,$E117=0),"N/A",$G117-$D117)</f>
        <v>0.197638512247266</v>
      </c>
      <c r="I117" s="50" t="n">
        <f aca="false">$B117-$E117</f>
        <v>0</v>
      </c>
      <c r="J117" s="51" t="n">
        <f aca="false">SUM(J110:J116)</f>
        <v>8964.28999999957</v>
      </c>
      <c r="K117" s="29"/>
      <c r="L117" s="51" t="n">
        <f aca="false">SUM(L110:L116)</f>
        <v>2851.0573845</v>
      </c>
      <c r="M117" s="51" t="n">
        <f aca="false">SUM(M110:M116)</f>
        <v>370.637459985</v>
      </c>
      <c r="N117" s="51" t="n">
        <f aca="false">$L117+$M117</f>
        <v>3221.694844485</v>
      </c>
      <c r="O117" s="51" t="n">
        <f aca="false">SUM(O110:O116)</f>
        <v>5742.59515551457</v>
      </c>
      <c r="P117" s="52" t="n">
        <f aca="false">IF($C117=0,"N/A",$O117/$C117)</f>
        <v>0.000655284083926675</v>
      </c>
    </row>
    <row r="120" customFormat="false" ht="19.7" hidden="false" customHeight="false" outlineLevel="0" collapsed="false">
      <c r="A120" s="1" t="s">
        <v>159</v>
      </c>
    </row>
    <row r="121" customFormat="false" ht="15" hidden="false" customHeight="false" outlineLevel="0" collapsed="false">
      <c r="A121" s="2" t="s">
        <v>132</v>
      </c>
      <c r="D121" s="31" t="s">
        <v>133</v>
      </c>
    </row>
    <row r="122" customFormat="false" ht="15" hidden="false" customHeight="false" outlineLevel="0" collapsed="false">
      <c r="A122" s="3" t="s">
        <v>134</v>
      </c>
      <c r="B122" s="27" t="n">
        <v>46258</v>
      </c>
      <c r="D122" s="3" t="s">
        <v>135</v>
      </c>
      <c r="E122" s="47" t="n">
        <f aca="false">C140</f>
        <v>13130112.51</v>
      </c>
    </row>
    <row r="123" customFormat="false" ht="15" hidden="false" customHeight="false" outlineLevel="0" collapsed="false">
      <c r="A123" s="3" t="s">
        <v>136</v>
      </c>
      <c r="B123" s="28" t="s">
        <v>137</v>
      </c>
      <c r="D123" s="3" t="s">
        <v>138</v>
      </c>
      <c r="E123" s="47" t="n">
        <f aca="false">F140</f>
        <v>13155566.8</v>
      </c>
    </row>
    <row r="124" customFormat="false" ht="15" hidden="false" customHeight="false" outlineLevel="0" collapsed="false">
      <c r="A124" s="3" t="s">
        <v>139</v>
      </c>
      <c r="B124" s="28" t="s">
        <v>151</v>
      </c>
      <c r="D124" s="3" t="s">
        <v>11</v>
      </c>
      <c r="E124" s="47" t="n">
        <f aca="false">J140</f>
        <v>25454.29</v>
      </c>
    </row>
    <row r="125" customFormat="false" ht="15" hidden="false" customHeight="false" outlineLevel="0" collapsed="false">
      <c r="A125" s="3" t="s">
        <v>141</v>
      </c>
      <c r="B125" s="28" t="s">
        <v>142</v>
      </c>
      <c r="D125" s="3" t="s">
        <v>13</v>
      </c>
      <c r="E125" s="47" t="n">
        <f aca="false">L140</f>
        <v>4275.55921</v>
      </c>
    </row>
    <row r="126" customFormat="false" ht="15" hidden="false" customHeight="false" outlineLevel="0" collapsed="false">
      <c r="A126" s="3" t="s">
        <v>143</v>
      </c>
      <c r="B126" s="28" t="s">
        <v>144</v>
      </c>
      <c r="D126" s="3" t="s">
        <v>15</v>
      </c>
      <c r="E126" s="47" t="n">
        <f aca="false">M140</f>
        <v>555.8226973</v>
      </c>
    </row>
    <row r="127" customFormat="false" ht="15" hidden="false" customHeight="false" outlineLevel="0" collapsed="false">
      <c r="A127" s="3" t="s">
        <v>145</v>
      </c>
      <c r="B127" s="28" t="s">
        <v>160</v>
      </c>
      <c r="D127" s="3" t="s">
        <v>147</v>
      </c>
      <c r="E127" s="47" t="n">
        <f aca="false">N140</f>
        <v>4831.3819073</v>
      </c>
    </row>
    <row r="128" customFormat="false" ht="15" hidden="false" customHeight="false" outlineLevel="0" collapsed="false">
      <c r="D128" s="3" t="s">
        <v>16</v>
      </c>
      <c r="E128" s="47" t="n">
        <f aca="false">O140</f>
        <v>20622.9080927</v>
      </c>
    </row>
    <row r="129" customFormat="false" ht="15" hidden="false" customHeight="false" outlineLevel="0" collapsed="false">
      <c r="D129" s="3" t="s">
        <v>8</v>
      </c>
      <c r="E129" s="48" t="n">
        <f aca="false">P140</f>
        <v>0.00157065737837307</v>
      </c>
    </row>
    <row r="130" customFormat="false" ht="15" hidden="false" customHeight="false" outlineLevel="0" collapsed="false">
      <c r="D130" s="3" t="s">
        <v>148</v>
      </c>
      <c r="E130" s="49" t="n">
        <f aca="false">I140</f>
        <v>0</v>
      </c>
    </row>
    <row r="131" customFormat="false" ht="15" hidden="false" customHeight="false" outlineLevel="0" collapsed="false">
      <c r="A131" s="31" t="s">
        <v>149</v>
      </c>
    </row>
    <row r="132" customFormat="false" ht="30" hidden="false" customHeight="true" outlineLevel="0" collapsed="false">
      <c r="A132" s="18" t="s">
        <v>71</v>
      </c>
      <c r="B132" s="18" t="s">
        <v>33</v>
      </c>
      <c r="C132" s="18" t="s">
        <v>36</v>
      </c>
      <c r="D132" s="18" t="s">
        <v>60</v>
      </c>
      <c r="E132" s="18" t="s">
        <v>34</v>
      </c>
      <c r="F132" s="18" t="s">
        <v>37</v>
      </c>
      <c r="G132" s="18" t="s">
        <v>61</v>
      </c>
      <c r="H132" s="18" t="s">
        <v>62</v>
      </c>
      <c r="I132" s="18" t="s">
        <v>35</v>
      </c>
      <c r="J132" s="18" t="s">
        <v>38</v>
      </c>
      <c r="K132" s="18" t="s">
        <v>63</v>
      </c>
      <c r="L132" s="18" t="s">
        <v>39</v>
      </c>
      <c r="M132" s="18" t="s">
        <v>64</v>
      </c>
      <c r="N132" s="18" t="s">
        <v>41</v>
      </c>
      <c r="O132" s="18" t="s">
        <v>7</v>
      </c>
      <c r="P132" s="18" t="s">
        <v>8</v>
      </c>
    </row>
    <row r="133" customFormat="false" ht="15" hidden="false" customHeight="false" outlineLevel="0" collapsed="false">
      <c r="A133" s="6" t="s">
        <v>89</v>
      </c>
      <c r="B133" s="33" t="n">
        <v>20000</v>
      </c>
      <c r="C133" s="33" t="n">
        <v>4309275</v>
      </c>
      <c r="D133" s="9" t="n">
        <f aca="false">IF($B133=0,"",$C133/$B133)</f>
        <v>215.46375</v>
      </c>
      <c r="E133" s="33" t="n">
        <v>20000</v>
      </c>
      <c r="F133" s="6" t="n">
        <v>4312450</v>
      </c>
      <c r="G133" s="9" t="n">
        <f aca="false">IF($E133=0,"",$F133/$E133)</f>
        <v>215.6225</v>
      </c>
      <c r="H133" s="9" t="n">
        <f aca="false">IF(OR($B133=0,$E133=0),"N/A",$G133-$D133)</f>
        <v>0.158749999999998</v>
      </c>
      <c r="I133" s="33" t="n">
        <f aca="false">$B133-$E133</f>
        <v>0</v>
      </c>
      <c r="J133" s="9" t="n">
        <f aca="false">$F133-$C133</f>
        <v>3175</v>
      </c>
      <c r="K133" s="6" t="str">
        <f aca="false">IF($E133=0,"—",IF($G133&gt;=Comm_Slab2_Start,"0.0325% of sell value","0.0175 paisa per share"))</f>
        <v>0.0325% of sell value</v>
      </c>
      <c r="L133" s="9" t="n">
        <f aca="false">IF($E133=0,0,IF($G133&gt;=Comm_Slab2_Start,$F133*Comm_Slab2_Rate,$E133*Comm_Slab1_Paisa/Paisa_Per_PKR))</f>
        <v>1401.54625</v>
      </c>
      <c r="M133" s="9" t="n">
        <f aca="false">$L133*SST_Rate</f>
        <v>182.2010125</v>
      </c>
      <c r="N133" s="9" t="n">
        <f aca="false">$L133+$M133</f>
        <v>1583.7472625</v>
      </c>
      <c r="O133" s="9" t="n">
        <f aca="false">$J133-$N133</f>
        <v>1591.2527375</v>
      </c>
      <c r="P133" s="10" t="n">
        <f aca="false">IF($C133=0,"N/A",$O133/$C133)</f>
        <v>0.000369262285999385</v>
      </c>
    </row>
    <row r="134" customFormat="false" ht="15" hidden="false" customHeight="false" outlineLevel="0" collapsed="false">
      <c r="A134" s="6" t="s">
        <v>105</v>
      </c>
      <c r="B134" s="33" t="n">
        <v>8000</v>
      </c>
      <c r="C134" s="33" t="n">
        <v>820080</v>
      </c>
      <c r="D134" s="9" t="n">
        <f aca="false">IF($B134=0,"",$C134/$B134)</f>
        <v>102.51</v>
      </c>
      <c r="E134" s="33" t="n">
        <v>8000</v>
      </c>
      <c r="F134" s="6" t="n">
        <v>822400</v>
      </c>
      <c r="G134" s="9" t="n">
        <f aca="false">IF($E134=0,"",$F134/$E134)</f>
        <v>102.8</v>
      </c>
      <c r="H134" s="9" t="n">
        <f aca="false">IF(OR($B134=0,$E134=0),"N/A",$G134-$D134)</f>
        <v>0.289999999999992</v>
      </c>
      <c r="I134" s="33" t="n">
        <f aca="false">$B134-$E134</f>
        <v>0</v>
      </c>
      <c r="J134" s="9" t="n">
        <f aca="false">$F134-$C134</f>
        <v>2320</v>
      </c>
      <c r="K134" s="6" t="str">
        <f aca="false">IF($E134=0,"—",IF($G134&gt;=Comm_Slab2_Start,"0.0325% of sell value","0.0175 paisa per share"))</f>
        <v>0.0325% of sell value</v>
      </c>
      <c r="L134" s="9" t="n">
        <f aca="false">IF($E134=0,0,IF($G134&gt;=Comm_Slab2_Start,$F134*Comm_Slab2_Rate,$E134*Comm_Slab1_Paisa/Paisa_Per_PKR))</f>
        <v>267.28</v>
      </c>
      <c r="M134" s="9" t="n">
        <f aca="false">$L134*SST_Rate</f>
        <v>34.7464</v>
      </c>
      <c r="N134" s="9" t="n">
        <f aca="false">$L134+$M134</f>
        <v>302.0264</v>
      </c>
      <c r="O134" s="9" t="n">
        <f aca="false">$J134-$N134</f>
        <v>2017.9736</v>
      </c>
      <c r="P134" s="10" t="n">
        <f aca="false">IF($C134=0,"N/A",$O134/$C134)</f>
        <v>0.00246070334601502</v>
      </c>
    </row>
    <row r="135" customFormat="false" ht="15" hidden="false" customHeight="false" outlineLevel="0" collapsed="false">
      <c r="A135" s="6" t="s">
        <v>76</v>
      </c>
      <c r="B135" s="33" t="n">
        <v>2500</v>
      </c>
      <c r="C135" s="33" t="n">
        <v>1344625</v>
      </c>
      <c r="D135" s="9" t="n">
        <f aca="false">IF($B135=0,"",$C135/$B135)</f>
        <v>537.85</v>
      </c>
      <c r="E135" s="33" t="n">
        <v>2500</v>
      </c>
      <c r="F135" s="6" t="n">
        <v>1345550</v>
      </c>
      <c r="G135" s="9" t="n">
        <f aca="false">IF($E135=0,"",$F135/$E135)</f>
        <v>538.22</v>
      </c>
      <c r="H135" s="9" t="n">
        <f aca="false">IF(OR($B135=0,$E135=0),"N/A",$G135-$D135)</f>
        <v>0.370000000000005</v>
      </c>
      <c r="I135" s="33" t="n">
        <f aca="false">$B135-$E135</f>
        <v>0</v>
      </c>
      <c r="J135" s="9" t="n">
        <f aca="false">$F135-$C135</f>
        <v>925</v>
      </c>
      <c r="K135" s="6" t="str">
        <f aca="false">IF($E135=0,"—",IF($G135&gt;=Comm_Slab2_Start,"0.0325% of sell value","0.0175 paisa per share"))</f>
        <v>0.0325% of sell value</v>
      </c>
      <c r="L135" s="9" t="n">
        <f aca="false">IF($E135=0,0,IF($G135&gt;=Comm_Slab2_Start,$F135*Comm_Slab2_Rate,$E135*Comm_Slab1_Paisa/Paisa_Per_PKR))</f>
        <v>437.30375</v>
      </c>
      <c r="M135" s="9" t="n">
        <f aca="false">$L135*SST_Rate</f>
        <v>56.8494875</v>
      </c>
      <c r="N135" s="9" t="n">
        <f aca="false">$L135+$M135</f>
        <v>494.1532375</v>
      </c>
      <c r="O135" s="9" t="n">
        <f aca="false">$J135-$N135</f>
        <v>430.8467625</v>
      </c>
      <c r="P135" s="10" t="n">
        <f aca="false">IF($C135=0,"N/A",$O135/$C135)</f>
        <v>0.000320421502277587</v>
      </c>
    </row>
    <row r="136" customFormat="false" ht="15" hidden="false" customHeight="false" outlineLevel="0" collapsed="false">
      <c r="A136" s="6" t="s">
        <v>124</v>
      </c>
      <c r="B136" s="33" t="n">
        <v>500</v>
      </c>
      <c r="C136" s="33" t="n">
        <v>167400</v>
      </c>
      <c r="D136" s="9" t="n">
        <f aca="false">IF($B136=0,"",$C136/$B136)</f>
        <v>334.8</v>
      </c>
      <c r="E136" s="33" t="n">
        <v>500</v>
      </c>
      <c r="F136" s="6" t="n">
        <v>167450</v>
      </c>
      <c r="G136" s="9" t="n">
        <f aca="false">IF($E136=0,"",$F136/$E136)</f>
        <v>334.9</v>
      </c>
      <c r="H136" s="9" t="n">
        <f aca="false">IF(OR($B136=0,$E136=0),"N/A",$G136-$D136)</f>
        <v>0.0999999999999659</v>
      </c>
      <c r="I136" s="33" t="n">
        <f aca="false">$B136-$E136</f>
        <v>0</v>
      </c>
      <c r="J136" s="9" t="n">
        <f aca="false">$F136-$C136</f>
        <v>50</v>
      </c>
      <c r="K136" s="6" t="str">
        <f aca="false">IF($E136=0,"—",IF($G136&gt;=Comm_Slab2_Start,"0.0325% of sell value","0.0175 paisa per share"))</f>
        <v>0.0325% of sell value</v>
      </c>
      <c r="L136" s="9" t="n">
        <f aca="false">IF($E136=0,0,IF($G136&gt;=Comm_Slab2_Start,$F136*Comm_Slab2_Rate,$E136*Comm_Slab1_Paisa/Paisa_Per_PKR))</f>
        <v>54.42125</v>
      </c>
      <c r="M136" s="9" t="n">
        <f aca="false">$L136*SST_Rate</f>
        <v>7.0747625</v>
      </c>
      <c r="N136" s="9" t="n">
        <f aca="false">$L136+$M136</f>
        <v>61.4960125</v>
      </c>
      <c r="O136" s="9" t="n">
        <f aca="false">$J136-$N136</f>
        <v>-11.4960125</v>
      </c>
      <c r="P136" s="10" t="n">
        <f aca="false">IF($C136=0,"N/A",$O136/$C136)</f>
        <v>-6.86739097968937E-005</v>
      </c>
    </row>
    <row r="137" customFormat="false" ht="15" hidden="false" customHeight="false" outlineLevel="0" collapsed="false">
      <c r="A137" s="6" t="s">
        <v>77</v>
      </c>
      <c r="B137" s="33" t="n">
        <v>10000</v>
      </c>
      <c r="C137" s="33" t="n">
        <v>2434285</v>
      </c>
      <c r="D137" s="9" t="n">
        <f aca="false">IF($B137=0,"",$C137/$B137)</f>
        <v>243.4285</v>
      </c>
      <c r="E137" s="33" t="n">
        <v>10000</v>
      </c>
      <c r="F137" s="6" t="n">
        <v>2440000</v>
      </c>
      <c r="G137" s="9" t="n">
        <f aca="false">IF($E137=0,"",$F137/$E137)</f>
        <v>244</v>
      </c>
      <c r="H137" s="9" t="n">
        <f aca="false">IF(OR($B137=0,$E137=0),"N/A",$G137-$D137)</f>
        <v>0.571499999999986</v>
      </c>
      <c r="I137" s="33" t="n">
        <f aca="false">$B137-$E137</f>
        <v>0</v>
      </c>
      <c r="J137" s="9" t="n">
        <f aca="false">$F137-$C137</f>
        <v>5715</v>
      </c>
      <c r="K137" s="6" t="str">
        <f aca="false">IF($E137=0,"—",IF($G137&gt;=Comm_Slab2_Start,"0.0325% of sell value","0.0175 paisa per share"))</f>
        <v>0.0325% of sell value</v>
      </c>
      <c r="L137" s="9" t="n">
        <f aca="false">IF($E137=0,0,IF($G137&gt;=Comm_Slab2_Start,$F137*Comm_Slab2_Rate,$E137*Comm_Slab1_Paisa/Paisa_Per_PKR))</f>
        <v>793</v>
      </c>
      <c r="M137" s="9" t="n">
        <f aca="false">$L137*SST_Rate</f>
        <v>103.09</v>
      </c>
      <c r="N137" s="9" t="n">
        <f aca="false">$L137+$M137</f>
        <v>896.09</v>
      </c>
      <c r="O137" s="9" t="n">
        <f aca="false">$J137-$N137</f>
        <v>4818.91</v>
      </c>
      <c r="P137" s="10" t="n">
        <f aca="false">IF($C137=0,"N/A",$O137/$C137)</f>
        <v>0.00197959975927223</v>
      </c>
    </row>
    <row r="138" customFormat="false" ht="15" hidden="false" customHeight="false" outlineLevel="0" collapsed="false">
      <c r="A138" s="6" t="s">
        <v>75</v>
      </c>
      <c r="B138" s="33" t="n">
        <v>5004</v>
      </c>
      <c r="C138" s="33" t="n">
        <v>442757.51</v>
      </c>
      <c r="D138" s="9" t="n">
        <f aca="false">IF($B138=0,"",$C138/$B138)</f>
        <v>88.4807174260592</v>
      </c>
      <c r="E138" s="33" t="n">
        <v>5004</v>
      </c>
      <c r="F138" s="6" t="n">
        <v>450056.8</v>
      </c>
      <c r="G138" s="9" t="n">
        <f aca="false">IF($E138=0,"",$F138/$E138)</f>
        <v>89.9394084732214</v>
      </c>
      <c r="H138" s="9" t="n">
        <f aca="false">IF(OR($B138=0,$E138=0),"N/A",$G138-$D138)</f>
        <v>1.45869104716226</v>
      </c>
      <c r="I138" s="33" t="n">
        <f aca="false">$B138-$E138</f>
        <v>0</v>
      </c>
      <c r="J138" s="9" t="n">
        <f aca="false">$F138-$C138</f>
        <v>7299.28999999998</v>
      </c>
      <c r="K138" s="6" t="str">
        <f aca="false">IF($E138=0,"—",IF($G138&gt;=Comm_Slab2_Start,"0.0325% of sell value","0.0175 paisa per share"))</f>
        <v>0.0325% of sell value</v>
      </c>
      <c r="L138" s="9" t="n">
        <f aca="false">IF($E138=0,0,IF($G138&gt;=Comm_Slab2_Start,$F138*Comm_Slab2_Rate,$E138*Comm_Slab1_Paisa/Paisa_Per_PKR))</f>
        <v>146.26846</v>
      </c>
      <c r="M138" s="9" t="n">
        <f aca="false">$L138*SST_Rate</f>
        <v>19.0148998</v>
      </c>
      <c r="N138" s="9" t="n">
        <f aca="false">$L138+$M138</f>
        <v>165.2833598</v>
      </c>
      <c r="O138" s="9" t="n">
        <f aca="false">$J138-$N138</f>
        <v>7134.00664019998</v>
      </c>
      <c r="P138" s="10" t="n">
        <f aca="false">IF($C138=0,"N/A",$O138/$C138)</f>
        <v>0.0161126722394838</v>
      </c>
    </row>
    <row r="139" customFormat="false" ht="15" hidden="false" customHeight="false" outlineLevel="0" collapsed="false">
      <c r="A139" s="6" t="s">
        <v>74</v>
      </c>
      <c r="B139" s="33" t="n">
        <v>38000</v>
      </c>
      <c r="C139" s="33" t="n">
        <v>3611690</v>
      </c>
      <c r="D139" s="9" t="n">
        <f aca="false">IF($B139=0,"",$C139/$B139)</f>
        <v>95.0444736842105</v>
      </c>
      <c r="E139" s="33" t="n">
        <v>38000</v>
      </c>
      <c r="F139" s="6" t="n">
        <v>3617660</v>
      </c>
      <c r="G139" s="9" t="n">
        <f aca="false">IF($E139=0,"",$F139/$E139)</f>
        <v>95.2015789473684</v>
      </c>
      <c r="H139" s="9" t="n">
        <f aca="false">IF(OR($B139=0,$E139=0),"N/A",$G139-$D139)</f>
        <v>0.157105263157888</v>
      </c>
      <c r="I139" s="33" t="n">
        <f aca="false">$B139-$E139</f>
        <v>0</v>
      </c>
      <c r="J139" s="9" t="n">
        <f aca="false">$F139-$C139</f>
        <v>5970</v>
      </c>
      <c r="K139" s="6" t="str">
        <f aca="false">IF($E139=0,"—",IF($G139&gt;=Comm_Slab2_Start,"0.0325% of sell value","0.0175 paisa per share"))</f>
        <v>0.0325% of sell value</v>
      </c>
      <c r="L139" s="9" t="n">
        <f aca="false">IF($E139=0,0,IF($G139&gt;=Comm_Slab2_Start,$F139*Comm_Slab2_Rate,$E139*Comm_Slab1_Paisa/Paisa_Per_PKR))</f>
        <v>1175.7395</v>
      </c>
      <c r="M139" s="9" t="n">
        <f aca="false">$L139*SST_Rate</f>
        <v>152.846135</v>
      </c>
      <c r="N139" s="9" t="n">
        <f aca="false">$L139+$M139</f>
        <v>1328.585635</v>
      </c>
      <c r="O139" s="9" t="n">
        <f aca="false">$J139-$N139</f>
        <v>4641.414365</v>
      </c>
      <c r="P139" s="10" t="n">
        <f aca="false">IF($C139=0,"N/A",$O139/$C139)</f>
        <v>0.00128510873441519</v>
      </c>
    </row>
    <row r="140" customFormat="false" ht="15" hidden="false" customHeight="false" outlineLevel="0" collapsed="false">
      <c r="A140" s="29" t="s">
        <v>42</v>
      </c>
      <c r="B140" s="50" t="n">
        <f aca="false">SUM(B133:B139)</f>
        <v>84004</v>
      </c>
      <c r="C140" s="50" t="n">
        <f aca="false">SUM(C133:C139)</f>
        <v>13130112.51</v>
      </c>
      <c r="D140" s="51" t="n">
        <f aca="false">IF($B140=0,"",$C140/$B140)</f>
        <v>156.303420194276</v>
      </c>
      <c r="E140" s="50" t="n">
        <f aca="false">SUM(E133:E139)</f>
        <v>84004</v>
      </c>
      <c r="F140" s="29" t="n">
        <f aca="false">SUM(F133:F139)</f>
        <v>13155566.8</v>
      </c>
      <c r="G140" s="51" t="n">
        <f aca="false">IF($E140=0,"",$F140/$E140)</f>
        <v>156.606433026999</v>
      </c>
      <c r="H140" s="51" t="n">
        <f aca="false">IF(OR($B140=0,$E140=0),"N/A",$G140-$D140)</f>
        <v>0.30301283272226</v>
      </c>
      <c r="I140" s="50" t="n">
        <f aca="false">$B140-$E140</f>
        <v>0</v>
      </c>
      <c r="J140" s="51" t="n">
        <f aca="false">SUM(J133:J139)</f>
        <v>25454.29</v>
      </c>
      <c r="K140" s="29"/>
      <c r="L140" s="51" t="n">
        <f aca="false">SUM(L133:L139)</f>
        <v>4275.55921</v>
      </c>
      <c r="M140" s="51" t="n">
        <f aca="false">SUM(M133:M139)</f>
        <v>555.8226973</v>
      </c>
      <c r="N140" s="51" t="n">
        <f aca="false">$L140+$M140</f>
        <v>4831.3819073</v>
      </c>
      <c r="O140" s="51" t="n">
        <f aca="false">SUM(O133:O139)</f>
        <v>20622.9080927</v>
      </c>
      <c r="P140" s="52" t="n">
        <f aca="false">IF($C140=0,"N/A",$O140/$C140)</f>
        <v>0.00157065737837307</v>
      </c>
    </row>
    <row r="143" customFormat="false" ht="19.7" hidden="false" customHeight="false" outlineLevel="0" collapsed="false">
      <c r="A143" s="1" t="s">
        <v>161</v>
      </c>
    </row>
    <row r="144" customFormat="false" ht="15" hidden="false" customHeight="false" outlineLevel="0" collapsed="false">
      <c r="A144" s="2" t="s">
        <v>132</v>
      </c>
      <c r="D144" s="31" t="s">
        <v>133</v>
      </c>
    </row>
    <row r="145" customFormat="false" ht="15" hidden="false" customHeight="false" outlineLevel="0" collapsed="false">
      <c r="A145" s="3" t="s">
        <v>134</v>
      </c>
      <c r="B145" s="27" t="n">
        <v>46261</v>
      </c>
      <c r="D145" s="3" t="s">
        <v>135</v>
      </c>
      <c r="E145" s="47" t="n">
        <f aca="false">C157</f>
        <v>2407645</v>
      </c>
    </row>
    <row r="146" customFormat="false" ht="15" hidden="false" customHeight="false" outlineLevel="0" collapsed="false">
      <c r="A146" s="3" t="s">
        <v>136</v>
      </c>
      <c r="B146" s="28" t="s">
        <v>137</v>
      </c>
      <c r="D146" s="3" t="s">
        <v>138</v>
      </c>
      <c r="E146" s="47" t="n">
        <f aca="false">F157</f>
        <v>2404525</v>
      </c>
    </row>
    <row r="147" customFormat="false" ht="15" hidden="false" customHeight="false" outlineLevel="0" collapsed="false">
      <c r="A147" s="3" t="s">
        <v>139</v>
      </c>
      <c r="B147" s="28" t="s">
        <v>140</v>
      </c>
      <c r="D147" s="3" t="s">
        <v>11</v>
      </c>
      <c r="E147" s="47" t="n">
        <f aca="false">J157</f>
        <v>-3120</v>
      </c>
    </row>
    <row r="148" customFormat="false" ht="15" hidden="false" customHeight="false" outlineLevel="0" collapsed="false">
      <c r="A148" s="3" t="s">
        <v>141</v>
      </c>
      <c r="B148" s="28" t="s">
        <v>142</v>
      </c>
      <c r="D148" s="3" t="s">
        <v>13</v>
      </c>
      <c r="E148" s="47" t="n">
        <f aca="false">L157</f>
        <v>781.470625</v>
      </c>
    </row>
    <row r="149" customFormat="false" ht="15" hidden="false" customHeight="false" outlineLevel="0" collapsed="false">
      <c r="A149" s="3" t="s">
        <v>143</v>
      </c>
      <c r="B149" s="28" t="s">
        <v>144</v>
      </c>
      <c r="D149" s="3" t="s">
        <v>15</v>
      </c>
      <c r="E149" s="47" t="n">
        <f aca="false">M157</f>
        <v>101.59118125</v>
      </c>
    </row>
    <row r="150" customFormat="false" ht="15" hidden="false" customHeight="false" outlineLevel="0" collapsed="false">
      <c r="A150" s="3" t="s">
        <v>145</v>
      </c>
      <c r="B150" s="28" t="s">
        <v>162</v>
      </c>
      <c r="D150" s="3" t="s">
        <v>147</v>
      </c>
      <c r="E150" s="47" t="n">
        <f aca="false">N157</f>
        <v>883.06180625</v>
      </c>
    </row>
    <row r="151" customFormat="false" ht="15" hidden="false" customHeight="false" outlineLevel="0" collapsed="false">
      <c r="D151" s="3" t="s">
        <v>16</v>
      </c>
      <c r="E151" s="47" t="n">
        <f aca="false">O157</f>
        <v>-4003.06180625</v>
      </c>
    </row>
    <row r="152" customFormat="false" ht="15" hidden="false" customHeight="false" outlineLevel="0" collapsed="false">
      <c r="D152" s="3" t="s">
        <v>8</v>
      </c>
      <c r="E152" s="48" t="n">
        <f aca="false">P157</f>
        <v>-0.00166264619835981</v>
      </c>
    </row>
    <row r="153" customFormat="false" ht="15" hidden="false" customHeight="false" outlineLevel="0" collapsed="false">
      <c r="D153" s="3" t="s">
        <v>148</v>
      </c>
      <c r="E153" s="49" t="n">
        <f aca="false">I157</f>
        <v>0</v>
      </c>
    </row>
    <row r="154" customFormat="false" ht="15" hidden="false" customHeight="false" outlineLevel="0" collapsed="false">
      <c r="A154" s="31" t="s">
        <v>149</v>
      </c>
    </row>
    <row r="155" customFormat="false" ht="30" hidden="false" customHeight="true" outlineLevel="0" collapsed="false">
      <c r="A155" s="18" t="s">
        <v>71</v>
      </c>
      <c r="B155" s="18" t="s">
        <v>33</v>
      </c>
      <c r="C155" s="18" t="s">
        <v>36</v>
      </c>
      <c r="D155" s="18" t="s">
        <v>60</v>
      </c>
      <c r="E155" s="18" t="s">
        <v>34</v>
      </c>
      <c r="F155" s="18" t="s">
        <v>37</v>
      </c>
      <c r="G155" s="18" t="s">
        <v>61</v>
      </c>
      <c r="H155" s="18" t="s">
        <v>62</v>
      </c>
      <c r="I155" s="18" t="s">
        <v>35</v>
      </c>
      <c r="J155" s="18" t="s">
        <v>38</v>
      </c>
      <c r="K155" s="18" t="s">
        <v>63</v>
      </c>
      <c r="L155" s="18" t="s">
        <v>39</v>
      </c>
      <c r="M155" s="18" t="s">
        <v>64</v>
      </c>
      <c r="N155" s="18" t="s">
        <v>41</v>
      </c>
      <c r="O155" s="18" t="s">
        <v>7</v>
      </c>
      <c r="P155" s="18" t="s">
        <v>8</v>
      </c>
    </row>
    <row r="156" customFormat="false" ht="15" hidden="false" customHeight="false" outlineLevel="0" collapsed="false">
      <c r="A156" s="6" t="s">
        <v>74</v>
      </c>
      <c r="B156" s="33" t="n">
        <v>26500</v>
      </c>
      <c r="C156" s="33" t="n">
        <v>2407645</v>
      </c>
      <c r="D156" s="9" t="n">
        <f aca="false">IF($B156=0,"",$C156/$B156)</f>
        <v>90.8545283018868</v>
      </c>
      <c r="E156" s="33" t="n">
        <v>26500</v>
      </c>
      <c r="F156" s="6" t="n">
        <v>2404525</v>
      </c>
      <c r="G156" s="9" t="n">
        <f aca="false">IF($E156=0,"",$F156/$E156)</f>
        <v>90.7367924528302</v>
      </c>
      <c r="H156" s="9" t="n">
        <f aca="false">IF(OR($B156=0,$E156=0),"N/A",$G156-$D156)</f>
        <v>-0.117735849056601</v>
      </c>
      <c r="I156" s="33" t="n">
        <f aca="false">$B156-$E156</f>
        <v>0</v>
      </c>
      <c r="J156" s="9" t="n">
        <f aca="false">$F156-$C156</f>
        <v>-3120</v>
      </c>
      <c r="K156" s="6" t="str">
        <f aca="false">IF($E156=0,"—",IF($G156&gt;=Comm_Slab2_Start,"0.0325% of sell value","0.0175 paisa per share"))</f>
        <v>0.0325% of sell value</v>
      </c>
      <c r="L156" s="9" t="n">
        <f aca="false">IF($E156=0,0,IF($G156&gt;=Comm_Slab2_Start,$F156*Comm_Slab2_Rate,$E156*Comm_Slab1_Paisa/Paisa_Per_PKR))</f>
        <v>781.470625</v>
      </c>
      <c r="M156" s="9" t="n">
        <f aca="false">$L156*SST_Rate</f>
        <v>101.59118125</v>
      </c>
      <c r="N156" s="9" t="n">
        <f aca="false">$L156+$M156</f>
        <v>883.06180625</v>
      </c>
      <c r="O156" s="9" t="n">
        <f aca="false">$J156-$N156</f>
        <v>-4003.06180625</v>
      </c>
      <c r="P156" s="10" t="n">
        <f aca="false">IF($C156=0,"N/A",$O156/$C156)</f>
        <v>-0.00166264619835981</v>
      </c>
    </row>
    <row r="157" customFormat="false" ht="15" hidden="false" customHeight="false" outlineLevel="0" collapsed="false">
      <c r="A157" s="29" t="s">
        <v>42</v>
      </c>
      <c r="B157" s="50" t="n">
        <f aca="false">SUM(B156)</f>
        <v>26500</v>
      </c>
      <c r="C157" s="50" t="n">
        <f aca="false">SUM(C156)</f>
        <v>2407645</v>
      </c>
      <c r="D157" s="51" t="n">
        <f aca="false">IF($B157=0,"",$C157/$B157)</f>
        <v>90.8545283018868</v>
      </c>
      <c r="E157" s="50" t="n">
        <f aca="false">SUM(E156)</f>
        <v>26500</v>
      </c>
      <c r="F157" s="29" t="n">
        <f aca="false">SUM(F156)</f>
        <v>2404525</v>
      </c>
      <c r="G157" s="51" t="n">
        <f aca="false">IF($E157=0,"",$F157/$E157)</f>
        <v>90.7367924528302</v>
      </c>
      <c r="H157" s="51" t="n">
        <f aca="false">IF(OR($B157=0,$E157=0),"N/A",$G157-$D157)</f>
        <v>-0.117735849056601</v>
      </c>
      <c r="I157" s="50" t="n">
        <f aca="false">$B157-$E157</f>
        <v>0</v>
      </c>
      <c r="J157" s="51" t="n">
        <f aca="false">SUM(J156)</f>
        <v>-3120</v>
      </c>
      <c r="K157" s="29"/>
      <c r="L157" s="51" t="n">
        <f aca="false">SUM(L156)</f>
        <v>781.470625</v>
      </c>
      <c r="M157" s="51" t="n">
        <f aca="false">SUM(M156)</f>
        <v>101.59118125</v>
      </c>
      <c r="N157" s="51" t="n">
        <f aca="false">$L157+$M157</f>
        <v>883.06180625</v>
      </c>
      <c r="O157" s="51" t="n">
        <f aca="false">SUM(O156)</f>
        <v>-4003.06180625</v>
      </c>
      <c r="P157" s="52" t="n">
        <f aca="false">IF($C157=0,"N/A",$O157/$C157)</f>
        <v>-0.00166264619835981</v>
      </c>
    </row>
    <row r="160" customFormat="false" ht="19.7" hidden="false" customHeight="false" outlineLevel="0" collapsed="false">
      <c r="A160" s="1" t="s">
        <v>163</v>
      </c>
    </row>
    <row r="161" customFormat="false" ht="15" hidden="false" customHeight="false" outlineLevel="0" collapsed="false">
      <c r="A161" s="2" t="s">
        <v>132</v>
      </c>
      <c r="D161" s="31" t="s">
        <v>133</v>
      </c>
    </row>
    <row r="162" customFormat="false" ht="15" hidden="false" customHeight="false" outlineLevel="0" collapsed="false">
      <c r="A162" s="3" t="s">
        <v>134</v>
      </c>
      <c r="B162" s="27" t="n">
        <v>46265</v>
      </c>
      <c r="D162" s="3" t="s">
        <v>135</v>
      </c>
      <c r="E162" s="47" t="n">
        <f aca="false">C179</f>
        <v>18280836.89</v>
      </c>
    </row>
    <row r="163" customFormat="false" ht="15" hidden="false" customHeight="false" outlineLevel="0" collapsed="false">
      <c r="A163" s="3" t="s">
        <v>136</v>
      </c>
      <c r="B163" s="28" t="s">
        <v>137</v>
      </c>
      <c r="D163" s="3" t="s">
        <v>138</v>
      </c>
      <c r="E163" s="47" t="n">
        <f aca="false">F179</f>
        <v>18292560</v>
      </c>
    </row>
    <row r="164" customFormat="false" ht="15" hidden="false" customHeight="false" outlineLevel="0" collapsed="false">
      <c r="A164" s="3" t="s">
        <v>139</v>
      </c>
      <c r="B164" s="28" t="s">
        <v>151</v>
      </c>
      <c r="D164" s="3" t="s">
        <v>11</v>
      </c>
      <c r="E164" s="47" t="n">
        <f aca="false">J179</f>
        <v>11723.1100000001</v>
      </c>
    </row>
    <row r="165" customFormat="false" ht="15" hidden="false" customHeight="false" outlineLevel="0" collapsed="false">
      <c r="A165" s="3" t="s">
        <v>141</v>
      </c>
      <c r="B165" s="28" t="s">
        <v>142</v>
      </c>
      <c r="D165" s="3" t="s">
        <v>13</v>
      </c>
      <c r="E165" s="47" t="n">
        <f aca="false">L179</f>
        <v>5945.082</v>
      </c>
    </row>
    <row r="166" customFormat="false" ht="15" hidden="false" customHeight="false" outlineLevel="0" collapsed="false">
      <c r="A166" s="3" t="s">
        <v>143</v>
      </c>
      <c r="B166" s="28" t="s">
        <v>144</v>
      </c>
      <c r="D166" s="3" t="s">
        <v>15</v>
      </c>
      <c r="E166" s="47" t="n">
        <f aca="false">M179</f>
        <v>772.86066</v>
      </c>
    </row>
    <row r="167" customFormat="false" ht="15" hidden="false" customHeight="false" outlineLevel="0" collapsed="false">
      <c r="A167" s="3" t="s">
        <v>145</v>
      </c>
      <c r="B167" s="28" t="s">
        <v>164</v>
      </c>
      <c r="D167" s="3" t="s">
        <v>147</v>
      </c>
      <c r="E167" s="47" t="n">
        <f aca="false">N179</f>
        <v>6717.94266</v>
      </c>
    </row>
    <row r="168" customFormat="false" ht="15" hidden="false" customHeight="false" outlineLevel="0" collapsed="false">
      <c r="D168" s="3" t="s">
        <v>16</v>
      </c>
      <c r="E168" s="47" t="n">
        <f aca="false">O179</f>
        <v>5005.1673400001</v>
      </c>
    </row>
    <row r="169" customFormat="false" ht="15" hidden="false" customHeight="false" outlineLevel="0" collapsed="false">
      <c r="D169" s="3" t="s">
        <v>8</v>
      </c>
      <c r="E169" s="48" t="n">
        <f aca="false">P179</f>
        <v>0.000273793118450613</v>
      </c>
    </row>
    <row r="170" customFormat="false" ht="15" hidden="false" customHeight="false" outlineLevel="0" collapsed="false">
      <c r="D170" s="3" t="s">
        <v>148</v>
      </c>
      <c r="E170" s="49" t="n">
        <f aca="false">I179</f>
        <v>0</v>
      </c>
    </row>
    <row r="171" customFormat="false" ht="15" hidden="false" customHeight="false" outlineLevel="0" collapsed="false">
      <c r="A171" s="31" t="s">
        <v>149</v>
      </c>
    </row>
    <row r="172" customFormat="false" ht="30" hidden="false" customHeight="true" outlineLevel="0" collapsed="false">
      <c r="A172" s="18" t="s">
        <v>71</v>
      </c>
      <c r="B172" s="18" t="s">
        <v>33</v>
      </c>
      <c r="C172" s="18" t="s">
        <v>36</v>
      </c>
      <c r="D172" s="18" t="s">
        <v>60</v>
      </c>
      <c r="E172" s="18" t="s">
        <v>34</v>
      </c>
      <c r="F172" s="18" t="s">
        <v>37</v>
      </c>
      <c r="G172" s="18" t="s">
        <v>61</v>
      </c>
      <c r="H172" s="18" t="s">
        <v>62</v>
      </c>
      <c r="I172" s="18" t="s">
        <v>35</v>
      </c>
      <c r="J172" s="18" t="s">
        <v>38</v>
      </c>
      <c r="K172" s="18" t="s">
        <v>63</v>
      </c>
      <c r="L172" s="18" t="s">
        <v>39</v>
      </c>
      <c r="M172" s="18" t="s">
        <v>64</v>
      </c>
      <c r="N172" s="18" t="s">
        <v>41</v>
      </c>
      <c r="O172" s="18" t="s">
        <v>7</v>
      </c>
      <c r="P172" s="18" t="s">
        <v>8</v>
      </c>
    </row>
    <row r="173" customFormat="false" ht="15" hidden="false" customHeight="false" outlineLevel="0" collapsed="false">
      <c r="A173" s="6" t="s">
        <v>95</v>
      </c>
      <c r="B173" s="33" t="n">
        <v>500</v>
      </c>
      <c r="C173" s="33" t="n">
        <v>570000</v>
      </c>
      <c r="D173" s="9" t="n">
        <f aca="false">IF($B173=0,"",$C173/$B173)</f>
        <v>1140</v>
      </c>
      <c r="E173" s="33" t="n">
        <v>500</v>
      </c>
      <c r="F173" s="6" t="n">
        <v>571950</v>
      </c>
      <c r="G173" s="9" t="n">
        <f aca="false">IF($E173=0,"",$F173/$E173)</f>
        <v>1143.9</v>
      </c>
      <c r="H173" s="9" t="n">
        <f aca="false">IF(OR($B173=0,$E173=0),"N/A",$G173-$D173)</f>
        <v>3.90000000000009</v>
      </c>
      <c r="I173" s="33" t="n">
        <f aca="false">$B173-$E173</f>
        <v>0</v>
      </c>
      <c r="J173" s="9" t="n">
        <f aca="false">$F173-$C173</f>
        <v>1950</v>
      </c>
      <c r="K173" s="6" t="str">
        <f aca="false">IF($E173=0,"—",IF($G173&gt;=Comm_Slab2_Start,"0.0325% of sell value","0.0175 paisa per share"))</f>
        <v>0.0325% of sell value</v>
      </c>
      <c r="L173" s="9" t="n">
        <f aca="false">IF($E173=0,0,IF($G173&gt;=Comm_Slab2_Start,$F173*Comm_Slab2_Rate,$E173*Comm_Slab1_Paisa/Paisa_Per_PKR))</f>
        <v>185.88375</v>
      </c>
      <c r="M173" s="9" t="n">
        <f aca="false">$L173*SST_Rate</f>
        <v>24.1648875</v>
      </c>
      <c r="N173" s="9" t="n">
        <f aca="false">$L173+$M173</f>
        <v>210.0486375</v>
      </c>
      <c r="O173" s="9" t="n">
        <f aca="false">$J173-$N173</f>
        <v>1739.9513625</v>
      </c>
      <c r="P173" s="10" t="n">
        <f aca="false">IF($C173=0,"N/A",$O173/$C173)</f>
        <v>0.00305254625</v>
      </c>
    </row>
    <row r="174" customFormat="false" ht="15" hidden="false" customHeight="false" outlineLevel="0" collapsed="false">
      <c r="A174" s="6" t="s">
        <v>96</v>
      </c>
      <c r="B174" s="33" t="n">
        <v>5500</v>
      </c>
      <c r="C174" s="33" t="n">
        <v>327245</v>
      </c>
      <c r="D174" s="9" t="n">
        <f aca="false">IF($B174=0,"",$C174/$B174)</f>
        <v>59.4990909090909</v>
      </c>
      <c r="E174" s="33" t="n">
        <v>5500</v>
      </c>
      <c r="F174" s="6" t="n">
        <v>327845</v>
      </c>
      <c r="G174" s="9" t="n">
        <f aca="false">IF($E174=0,"",$F174/$E174)</f>
        <v>59.6081818181818</v>
      </c>
      <c r="H174" s="9" t="n">
        <f aca="false">IF(OR($B174=0,$E174=0),"N/A",$G174-$D174)</f>
        <v>0.109090909090909</v>
      </c>
      <c r="I174" s="33" t="n">
        <f aca="false">$B174-$E174</f>
        <v>0</v>
      </c>
      <c r="J174" s="9" t="n">
        <f aca="false">$F174-$C174</f>
        <v>600</v>
      </c>
      <c r="K174" s="6" t="str">
        <f aca="false">IF($E174=0,"—",IF($G174&gt;=Comm_Slab2_Start,"0.0325% of sell value","0.0175 paisa per share"))</f>
        <v>0.0325% of sell value</v>
      </c>
      <c r="L174" s="9" t="n">
        <f aca="false">IF($E174=0,0,IF($G174&gt;=Comm_Slab2_Start,$F174*Comm_Slab2_Rate,$E174*Comm_Slab1_Paisa/Paisa_Per_PKR))</f>
        <v>106.549625</v>
      </c>
      <c r="M174" s="9" t="n">
        <f aca="false">$L174*SST_Rate</f>
        <v>13.85145125</v>
      </c>
      <c r="N174" s="9" t="n">
        <f aca="false">$L174+$M174</f>
        <v>120.40107625</v>
      </c>
      <c r="O174" s="9" t="n">
        <f aca="false">$J174-$N174</f>
        <v>479.59892375</v>
      </c>
      <c r="P174" s="10" t="n">
        <f aca="false">IF($C174=0,"N/A",$O174/$C174)</f>
        <v>0.00146556532185366</v>
      </c>
    </row>
    <row r="175" customFormat="false" ht="15" hidden="false" customHeight="false" outlineLevel="0" collapsed="false">
      <c r="A175" s="6" t="s">
        <v>121</v>
      </c>
      <c r="B175" s="33" t="n">
        <v>3000</v>
      </c>
      <c r="C175" s="33" t="n">
        <v>1576136.89</v>
      </c>
      <c r="D175" s="9" t="n">
        <f aca="false">IF($B175=0,"",$C175/$B175)</f>
        <v>525.378963333333</v>
      </c>
      <c r="E175" s="33" t="n">
        <v>3000</v>
      </c>
      <c r="F175" s="6" t="n">
        <v>1576000</v>
      </c>
      <c r="G175" s="9" t="n">
        <f aca="false">IF($E175=0,"",$F175/$E175)</f>
        <v>525.333333333333</v>
      </c>
      <c r="H175" s="9" t="n">
        <f aca="false">IF(OR($B175=0,$E175=0),"N/A",$G175-$D175)</f>
        <v>-0.0456299999999601</v>
      </c>
      <c r="I175" s="33" t="n">
        <f aca="false">$B175-$E175</f>
        <v>0</v>
      </c>
      <c r="J175" s="9" t="n">
        <f aca="false">$F175-$C175</f>
        <v>-136.889999999898</v>
      </c>
      <c r="K175" s="6" t="str">
        <f aca="false">IF($E175=0,"—",IF($G175&gt;=Comm_Slab2_Start,"0.0325% of sell value","0.0175 paisa per share"))</f>
        <v>0.0325% of sell value</v>
      </c>
      <c r="L175" s="9" t="n">
        <f aca="false">IF($E175=0,0,IF($G175&gt;=Comm_Slab2_Start,$F175*Comm_Slab2_Rate,$E175*Comm_Slab1_Paisa/Paisa_Per_PKR))</f>
        <v>512.2</v>
      </c>
      <c r="M175" s="9" t="n">
        <f aca="false">$L175*SST_Rate</f>
        <v>66.586</v>
      </c>
      <c r="N175" s="9" t="n">
        <f aca="false">$L175+$M175</f>
        <v>578.786</v>
      </c>
      <c r="O175" s="9" t="n">
        <f aca="false">$J175-$N175</f>
        <v>-715.675999999898</v>
      </c>
      <c r="P175" s="10" t="n">
        <f aca="false">IF($C175=0,"N/A",$O175/$C175)</f>
        <v>-0.000454069696953732</v>
      </c>
    </row>
    <row r="176" customFormat="false" ht="15" hidden="false" customHeight="false" outlineLevel="0" collapsed="false">
      <c r="A176" s="6" t="s">
        <v>78</v>
      </c>
      <c r="B176" s="33" t="n">
        <v>26000</v>
      </c>
      <c r="C176" s="33" t="n">
        <v>13847285</v>
      </c>
      <c r="D176" s="9" t="n">
        <f aca="false">IF($B176=0,"",$C176/$B176)</f>
        <v>532.587884615385</v>
      </c>
      <c r="E176" s="33" t="n">
        <v>26000</v>
      </c>
      <c r="F176" s="6" t="n">
        <v>13851475</v>
      </c>
      <c r="G176" s="9" t="n">
        <f aca="false">IF($E176=0,"",$F176/$E176)</f>
        <v>532.749038461539</v>
      </c>
      <c r="H176" s="9" t="n">
        <f aca="false">IF(OR($B176=0,$E176=0),"N/A",$G176-$D176)</f>
        <v>0.161153846153866</v>
      </c>
      <c r="I176" s="33" t="n">
        <f aca="false">$B176-$E176</f>
        <v>0</v>
      </c>
      <c r="J176" s="9" t="n">
        <f aca="false">$F176-$C176</f>
        <v>4190</v>
      </c>
      <c r="K176" s="6" t="str">
        <f aca="false">IF($E176=0,"—",IF($G176&gt;=Comm_Slab2_Start,"0.0325% of sell value","0.0175 paisa per share"))</f>
        <v>0.0325% of sell value</v>
      </c>
      <c r="L176" s="9" t="n">
        <f aca="false">IF($E176=0,0,IF($G176&gt;=Comm_Slab2_Start,$F176*Comm_Slab2_Rate,$E176*Comm_Slab1_Paisa/Paisa_Per_PKR))</f>
        <v>4501.729375</v>
      </c>
      <c r="M176" s="9" t="n">
        <f aca="false">$L176*SST_Rate</f>
        <v>585.22481875</v>
      </c>
      <c r="N176" s="9" t="n">
        <f aca="false">$L176+$M176</f>
        <v>5086.95419375</v>
      </c>
      <c r="O176" s="9" t="n">
        <f aca="false">$J176-$N176</f>
        <v>-896.95419375</v>
      </c>
      <c r="P176" s="10" t="n">
        <f aca="false">IF($C176=0,"N/A",$O176/$C176)</f>
        <v>-6.47747333683101E-005</v>
      </c>
    </row>
    <row r="177" customFormat="false" ht="15" hidden="false" customHeight="false" outlineLevel="0" collapsed="false">
      <c r="A177" s="6" t="s">
        <v>115</v>
      </c>
      <c r="B177" s="33" t="n">
        <v>2500</v>
      </c>
      <c r="C177" s="33" t="n">
        <v>594250</v>
      </c>
      <c r="D177" s="9" t="n">
        <f aca="false">IF($B177=0,"",$C177/$B177)</f>
        <v>237.7</v>
      </c>
      <c r="E177" s="33" t="n">
        <v>2500</v>
      </c>
      <c r="F177" s="6" t="n">
        <v>597475</v>
      </c>
      <c r="G177" s="9" t="n">
        <f aca="false">IF($E177=0,"",$F177/$E177)</f>
        <v>238.99</v>
      </c>
      <c r="H177" s="9" t="n">
        <f aca="false">IF(OR($B177=0,$E177=0),"N/A",$G177-$D177)</f>
        <v>1.29000000000002</v>
      </c>
      <c r="I177" s="33" t="n">
        <f aca="false">$B177-$E177</f>
        <v>0</v>
      </c>
      <c r="J177" s="9" t="n">
        <f aca="false">$F177-$C177</f>
        <v>3225</v>
      </c>
      <c r="K177" s="6" t="str">
        <f aca="false">IF($E177=0,"—",IF($G177&gt;=Comm_Slab2_Start,"0.0325% of sell value","0.0175 paisa per share"))</f>
        <v>0.0325% of sell value</v>
      </c>
      <c r="L177" s="9" t="n">
        <f aca="false">IF($E177=0,0,IF($G177&gt;=Comm_Slab2_Start,$F177*Comm_Slab2_Rate,$E177*Comm_Slab1_Paisa/Paisa_Per_PKR))</f>
        <v>194.179375</v>
      </c>
      <c r="M177" s="9" t="n">
        <f aca="false">$L177*SST_Rate</f>
        <v>25.24331875</v>
      </c>
      <c r="N177" s="9" t="n">
        <f aca="false">$L177+$M177</f>
        <v>219.42269375</v>
      </c>
      <c r="O177" s="9" t="n">
        <f aca="false">$J177-$N177</f>
        <v>3005.57730625</v>
      </c>
      <c r="P177" s="10" t="n">
        <f aca="false">IF($C177=0,"N/A",$O177/$C177)</f>
        <v>0.00505776576567101</v>
      </c>
    </row>
    <row r="178" customFormat="false" ht="15" hidden="false" customHeight="false" outlineLevel="0" collapsed="false">
      <c r="A178" s="6" t="s">
        <v>74</v>
      </c>
      <c r="B178" s="33" t="n">
        <v>14000</v>
      </c>
      <c r="C178" s="33" t="n">
        <v>1365920</v>
      </c>
      <c r="D178" s="9" t="n">
        <f aca="false">IF($B178=0,"",$C178/$B178)</f>
        <v>97.5657142857143</v>
      </c>
      <c r="E178" s="33" t="n">
        <v>14000</v>
      </c>
      <c r="F178" s="6" t="n">
        <v>1367815</v>
      </c>
      <c r="G178" s="9" t="n">
        <f aca="false">IF($E178=0,"",$F178/$E178)</f>
        <v>97.7010714285714</v>
      </c>
      <c r="H178" s="9" t="n">
        <f aca="false">IF(OR($B178=0,$E178=0),"N/A",$G178-$D178)</f>
        <v>0.135357142857146</v>
      </c>
      <c r="I178" s="33" t="n">
        <f aca="false">$B178-$E178</f>
        <v>0</v>
      </c>
      <c r="J178" s="9" t="n">
        <f aca="false">$F178-$C178</f>
        <v>1895</v>
      </c>
      <c r="K178" s="6" t="str">
        <f aca="false">IF($E178=0,"—",IF($G178&gt;=Comm_Slab2_Start,"0.0325% of sell value","0.0175 paisa per share"))</f>
        <v>0.0325% of sell value</v>
      </c>
      <c r="L178" s="9" t="n">
        <f aca="false">IF($E178=0,0,IF($G178&gt;=Comm_Slab2_Start,$F178*Comm_Slab2_Rate,$E178*Comm_Slab1_Paisa/Paisa_Per_PKR))</f>
        <v>444.539875</v>
      </c>
      <c r="M178" s="9" t="n">
        <f aca="false">$L178*SST_Rate</f>
        <v>57.79018375</v>
      </c>
      <c r="N178" s="9" t="n">
        <f aca="false">$L178+$M178</f>
        <v>502.33005875</v>
      </c>
      <c r="O178" s="9" t="n">
        <f aca="false">$J178-$N178</f>
        <v>1392.66994125</v>
      </c>
      <c r="P178" s="10" t="n">
        <f aca="false">IF($C178=0,"N/A",$O178/$C178)</f>
        <v>0.00101958382720071</v>
      </c>
    </row>
    <row r="179" customFormat="false" ht="15" hidden="false" customHeight="false" outlineLevel="0" collapsed="false">
      <c r="A179" s="29" t="s">
        <v>42</v>
      </c>
      <c r="B179" s="50" t="n">
        <f aca="false">SUM(B173:B178)</f>
        <v>51500</v>
      </c>
      <c r="C179" s="50" t="n">
        <f aca="false">SUM(C173:C178)</f>
        <v>18280836.89</v>
      </c>
      <c r="D179" s="51" t="n">
        <f aca="false">IF($B179=0,"",$C179/$B179)</f>
        <v>354.967706601942</v>
      </c>
      <c r="E179" s="50" t="n">
        <f aca="false">SUM(E173:E178)</f>
        <v>51500</v>
      </c>
      <c r="F179" s="29" t="n">
        <f aca="false">SUM(F173:F178)</f>
        <v>18292560</v>
      </c>
      <c r="G179" s="51" t="n">
        <f aca="false">IF($E179=0,"",$F179/$E179)</f>
        <v>355.195339805825</v>
      </c>
      <c r="H179" s="51" t="n">
        <f aca="false">IF(OR($B179=0,$E179=0),"N/A",$G179-$D179)</f>
        <v>0.227633203883499</v>
      </c>
      <c r="I179" s="50" t="n">
        <f aca="false">$B179-$E179</f>
        <v>0</v>
      </c>
      <c r="J179" s="51" t="n">
        <f aca="false">SUM(J173:J178)</f>
        <v>11723.1100000001</v>
      </c>
      <c r="K179" s="29"/>
      <c r="L179" s="51" t="n">
        <f aca="false">SUM(L173:L178)</f>
        <v>5945.082</v>
      </c>
      <c r="M179" s="51" t="n">
        <f aca="false">SUM(M173:M178)</f>
        <v>772.86066</v>
      </c>
      <c r="N179" s="51" t="n">
        <f aca="false">$L179+$M179</f>
        <v>6717.94266</v>
      </c>
      <c r="O179" s="51" t="n">
        <f aca="false">SUM(O173:O178)</f>
        <v>5005.1673400001</v>
      </c>
      <c r="P179" s="52" t="n">
        <f aca="false">IF($C179=0,"N/A",$O179/$C179)</f>
        <v>0.000273793118450613</v>
      </c>
    </row>
    <row r="182" customFormat="false" ht="19.7" hidden="false" customHeight="false" outlineLevel="0" collapsed="false">
      <c r="A182" s="1" t="s">
        <v>165</v>
      </c>
    </row>
    <row r="183" customFormat="false" ht="15" hidden="false" customHeight="false" outlineLevel="0" collapsed="false">
      <c r="A183" s="2" t="s">
        <v>132</v>
      </c>
      <c r="D183" s="31" t="s">
        <v>133</v>
      </c>
    </row>
    <row r="184" customFormat="false" ht="15" hidden="false" customHeight="false" outlineLevel="0" collapsed="false">
      <c r="A184" s="3" t="s">
        <v>134</v>
      </c>
      <c r="B184" s="27" t="n">
        <v>46266</v>
      </c>
      <c r="D184" s="3" t="s">
        <v>135</v>
      </c>
      <c r="E184" s="47" t="n">
        <f aca="false">C203</f>
        <v>13686449.11</v>
      </c>
    </row>
    <row r="185" customFormat="false" ht="15" hidden="false" customHeight="false" outlineLevel="0" collapsed="false">
      <c r="A185" s="3" t="s">
        <v>136</v>
      </c>
      <c r="B185" s="28" t="s">
        <v>137</v>
      </c>
      <c r="D185" s="3" t="s">
        <v>138</v>
      </c>
      <c r="E185" s="47" t="n">
        <f aca="false">F203</f>
        <v>13711864.41</v>
      </c>
    </row>
    <row r="186" customFormat="false" ht="15" hidden="false" customHeight="false" outlineLevel="0" collapsed="false">
      <c r="A186" s="3" t="s">
        <v>139</v>
      </c>
      <c r="B186" s="28" t="s">
        <v>151</v>
      </c>
      <c r="D186" s="3" t="s">
        <v>11</v>
      </c>
      <c r="E186" s="47" t="n">
        <f aca="false">J203</f>
        <v>25415.3000000001</v>
      </c>
    </row>
    <row r="187" customFormat="false" ht="15" hidden="false" customHeight="false" outlineLevel="0" collapsed="false">
      <c r="A187" s="3" t="s">
        <v>141</v>
      </c>
      <c r="B187" s="28" t="s">
        <v>142</v>
      </c>
      <c r="D187" s="3" t="s">
        <v>13</v>
      </c>
      <c r="E187" s="47" t="n">
        <f aca="false">L203</f>
        <v>4456.35593325</v>
      </c>
    </row>
    <row r="188" customFormat="false" ht="15" hidden="false" customHeight="false" outlineLevel="0" collapsed="false">
      <c r="A188" s="3" t="s">
        <v>143</v>
      </c>
      <c r="B188" s="28" t="s">
        <v>144</v>
      </c>
      <c r="D188" s="3" t="s">
        <v>15</v>
      </c>
      <c r="E188" s="47" t="n">
        <f aca="false">M203</f>
        <v>579.3262713225</v>
      </c>
    </row>
    <row r="189" customFormat="false" ht="15" hidden="false" customHeight="false" outlineLevel="0" collapsed="false">
      <c r="A189" s="3" t="s">
        <v>145</v>
      </c>
      <c r="B189" s="28" t="s">
        <v>166</v>
      </c>
      <c r="D189" s="3" t="s">
        <v>147</v>
      </c>
      <c r="E189" s="47" t="n">
        <f aca="false">N203</f>
        <v>5035.6822045725</v>
      </c>
    </row>
    <row r="190" customFormat="false" ht="15" hidden="false" customHeight="false" outlineLevel="0" collapsed="false">
      <c r="D190" s="3" t="s">
        <v>16</v>
      </c>
      <c r="E190" s="47" t="n">
        <f aca="false">O203</f>
        <v>20379.6177954276</v>
      </c>
    </row>
    <row r="191" customFormat="false" ht="15" hidden="false" customHeight="false" outlineLevel="0" collapsed="false">
      <c r="D191" s="3" t="s">
        <v>8</v>
      </c>
      <c r="E191" s="48" t="n">
        <f aca="false">P203</f>
        <v>0.00148903617232152</v>
      </c>
    </row>
    <row r="192" customFormat="false" ht="15" hidden="false" customHeight="false" outlineLevel="0" collapsed="false">
      <c r="D192" s="3" t="s">
        <v>148</v>
      </c>
      <c r="E192" s="49" t="n">
        <f aca="false">I203</f>
        <v>0</v>
      </c>
    </row>
    <row r="193" customFormat="false" ht="15" hidden="false" customHeight="false" outlineLevel="0" collapsed="false">
      <c r="A193" s="31" t="s">
        <v>149</v>
      </c>
    </row>
    <row r="194" customFormat="false" ht="30" hidden="false" customHeight="true" outlineLevel="0" collapsed="false">
      <c r="A194" s="18" t="s">
        <v>71</v>
      </c>
      <c r="B194" s="18" t="s">
        <v>33</v>
      </c>
      <c r="C194" s="18" t="s">
        <v>36</v>
      </c>
      <c r="D194" s="18" t="s">
        <v>60</v>
      </c>
      <c r="E194" s="18" t="s">
        <v>34</v>
      </c>
      <c r="F194" s="18" t="s">
        <v>37</v>
      </c>
      <c r="G194" s="18" t="s">
        <v>61</v>
      </c>
      <c r="H194" s="18" t="s">
        <v>62</v>
      </c>
      <c r="I194" s="18" t="s">
        <v>35</v>
      </c>
      <c r="J194" s="18" t="s">
        <v>38</v>
      </c>
      <c r="K194" s="18" t="s">
        <v>63</v>
      </c>
      <c r="L194" s="18" t="s">
        <v>39</v>
      </c>
      <c r="M194" s="18" t="s">
        <v>64</v>
      </c>
      <c r="N194" s="18" t="s">
        <v>41</v>
      </c>
      <c r="O194" s="18" t="s">
        <v>7</v>
      </c>
      <c r="P194" s="18" t="s">
        <v>8</v>
      </c>
    </row>
    <row r="195" customFormat="false" ht="15" hidden="false" customHeight="false" outlineLevel="0" collapsed="false">
      <c r="A195" s="6" t="s">
        <v>93</v>
      </c>
      <c r="B195" s="33" t="n">
        <v>2500</v>
      </c>
      <c r="C195" s="33" t="n">
        <v>518750</v>
      </c>
      <c r="D195" s="9" t="n">
        <f aca="false">IF($B195=0,"",$C195/$B195)</f>
        <v>207.5</v>
      </c>
      <c r="E195" s="33" t="n">
        <v>2500</v>
      </c>
      <c r="F195" s="6" t="n">
        <v>519933.41</v>
      </c>
      <c r="G195" s="9" t="n">
        <f aca="false">IF($E195=0,"",$F195/$E195)</f>
        <v>207.973364</v>
      </c>
      <c r="H195" s="9" t="n">
        <f aca="false">IF(OR($B195=0,$E195=0),"N/A",$G195-$D195)</f>
        <v>0.473364000000004</v>
      </c>
      <c r="I195" s="33" t="n">
        <f aca="false">$B195-$E195</f>
        <v>0</v>
      </c>
      <c r="J195" s="9" t="n">
        <f aca="false">$F195-$C195</f>
        <v>1183.40999999997</v>
      </c>
      <c r="K195" s="6" t="str">
        <f aca="false">IF($E195=0,"—",IF($G195&gt;=Comm_Slab2_Start,"0.0325% of sell value","0.0175 paisa per share"))</f>
        <v>0.0325% of sell value</v>
      </c>
      <c r="L195" s="9" t="n">
        <f aca="false">IF($E195=0,0,IF($G195&gt;=Comm_Slab2_Start,$F195*Comm_Slab2_Rate,$E195*Comm_Slab1_Paisa/Paisa_Per_PKR))</f>
        <v>168.97835825</v>
      </c>
      <c r="M195" s="9" t="n">
        <f aca="false">$L195*SST_Rate</f>
        <v>21.9671865725</v>
      </c>
      <c r="N195" s="9" t="n">
        <f aca="false">$L195+$M195</f>
        <v>190.9455448225</v>
      </c>
      <c r="O195" s="9" t="n">
        <f aca="false">$J195-$N195</f>
        <v>992.464455177474</v>
      </c>
      <c r="P195" s="10" t="n">
        <f aca="false">IF($C195=0,"N/A",$O195/$C195)</f>
        <v>0.00191318449190838</v>
      </c>
    </row>
    <row r="196" customFormat="false" ht="15" hidden="false" customHeight="false" outlineLevel="0" collapsed="false">
      <c r="A196" s="6" t="s">
        <v>121</v>
      </c>
      <c r="B196" s="33" t="n">
        <v>3420</v>
      </c>
      <c r="C196" s="33" t="n">
        <v>1890657.9</v>
      </c>
      <c r="D196" s="9" t="n">
        <f aca="false">IF($B196=0,"",$C196/$B196)</f>
        <v>552.823947368421</v>
      </c>
      <c r="E196" s="33" t="n">
        <v>3420</v>
      </c>
      <c r="F196" s="6" t="n">
        <v>1897146</v>
      </c>
      <c r="G196" s="9" t="n">
        <f aca="false">IF($E196=0,"",$F196/$E196)</f>
        <v>554.721052631579</v>
      </c>
      <c r="H196" s="9" t="n">
        <f aca="false">IF(OR($B196=0,$E196=0),"N/A",$G196-$D196)</f>
        <v>1.89710526315787</v>
      </c>
      <c r="I196" s="33" t="n">
        <f aca="false">$B196-$E196</f>
        <v>0</v>
      </c>
      <c r="J196" s="9" t="n">
        <f aca="false">$F196-$C196</f>
        <v>6488.10000000009</v>
      </c>
      <c r="K196" s="6" t="str">
        <f aca="false">IF($E196=0,"—",IF($G196&gt;=Comm_Slab2_Start,"0.0325% of sell value","0.0175 paisa per share"))</f>
        <v>0.0325% of sell value</v>
      </c>
      <c r="L196" s="9" t="n">
        <f aca="false">IF($E196=0,0,IF($G196&gt;=Comm_Slab2_Start,$F196*Comm_Slab2_Rate,$E196*Comm_Slab1_Paisa/Paisa_Per_PKR))</f>
        <v>616.57245</v>
      </c>
      <c r="M196" s="9" t="n">
        <f aca="false">$L196*SST_Rate</f>
        <v>80.1544185</v>
      </c>
      <c r="N196" s="9" t="n">
        <f aca="false">$L196+$M196</f>
        <v>696.7268685</v>
      </c>
      <c r="O196" s="9" t="n">
        <f aca="false">$J196-$N196</f>
        <v>5791.37313150009</v>
      </c>
      <c r="P196" s="10" t="n">
        <f aca="false">IF($C196=0,"N/A",$O196/$C196)</f>
        <v>0.00306315231935936</v>
      </c>
    </row>
    <row r="197" customFormat="false" ht="15" hidden="false" customHeight="false" outlineLevel="0" collapsed="false">
      <c r="A197" s="6" t="s">
        <v>78</v>
      </c>
      <c r="B197" s="33" t="n">
        <v>13000</v>
      </c>
      <c r="C197" s="33" t="n">
        <v>7174360</v>
      </c>
      <c r="D197" s="9" t="n">
        <f aca="false">IF($B197=0,"",$C197/$B197)</f>
        <v>551.873846153846</v>
      </c>
      <c r="E197" s="33" t="n">
        <v>13000</v>
      </c>
      <c r="F197" s="6" t="n">
        <v>7187545</v>
      </c>
      <c r="G197" s="9" t="n">
        <f aca="false">IF($E197=0,"",$F197/$E197)</f>
        <v>552.888076923077</v>
      </c>
      <c r="H197" s="9" t="n">
        <f aca="false">IF(OR($B197=0,$E197=0),"N/A",$G197-$D197)</f>
        <v>1.01423076923084</v>
      </c>
      <c r="I197" s="33" t="n">
        <f aca="false">$B197-$E197</f>
        <v>0</v>
      </c>
      <c r="J197" s="9" t="n">
        <f aca="false">$F197-$C197</f>
        <v>13185</v>
      </c>
      <c r="K197" s="6" t="str">
        <f aca="false">IF($E197=0,"—",IF($G197&gt;=Comm_Slab2_Start,"0.0325% of sell value","0.0175 paisa per share"))</f>
        <v>0.0325% of sell value</v>
      </c>
      <c r="L197" s="9" t="n">
        <f aca="false">IF($E197=0,0,IF($G197&gt;=Comm_Slab2_Start,$F197*Comm_Slab2_Rate,$E197*Comm_Slab1_Paisa/Paisa_Per_PKR))</f>
        <v>2335.952125</v>
      </c>
      <c r="M197" s="9" t="n">
        <f aca="false">$L197*SST_Rate</f>
        <v>303.67377625</v>
      </c>
      <c r="N197" s="9" t="n">
        <f aca="false">$L197+$M197</f>
        <v>2639.62590125</v>
      </c>
      <c r="O197" s="9" t="n">
        <f aca="false">$J197-$N197</f>
        <v>10545.37409875</v>
      </c>
      <c r="P197" s="10" t="n">
        <f aca="false">IF($C197=0,"N/A",$O197/$C197)</f>
        <v>0.00146986966067357</v>
      </c>
    </row>
    <row r="198" customFormat="false" ht="15" hidden="false" customHeight="false" outlineLevel="0" collapsed="false">
      <c r="A198" s="6" t="s">
        <v>125</v>
      </c>
      <c r="B198" s="33" t="n">
        <v>4000</v>
      </c>
      <c r="C198" s="33" t="n">
        <v>1344700</v>
      </c>
      <c r="D198" s="9" t="n">
        <f aca="false">IF($B198=0,"",$C198/$B198)</f>
        <v>336.175</v>
      </c>
      <c r="E198" s="33" t="n">
        <v>4000</v>
      </c>
      <c r="F198" s="6" t="n">
        <v>1345600</v>
      </c>
      <c r="G198" s="9" t="n">
        <f aca="false">IF($E198=0,"",$F198/$E198)</f>
        <v>336.4</v>
      </c>
      <c r="H198" s="9" t="n">
        <f aca="false">IF(OR($B198=0,$E198=0),"N/A",$G198-$D198)</f>
        <v>0.224999999999966</v>
      </c>
      <c r="I198" s="33" t="n">
        <f aca="false">$B198-$E198</f>
        <v>0</v>
      </c>
      <c r="J198" s="9" t="n">
        <f aca="false">$F198-$C198</f>
        <v>900</v>
      </c>
      <c r="K198" s="6" t="str">
        <f aca="false">IF($E198=0,"—",IF($G198&gt;=Comm_Slab2_Start,"0.0325% of sell value","0.0175 paisa per share"))</f>
        <v>0.0325% of sell value</v>
      </c>
      <c r="L198" s="9" t="n">
        <f aca="false">IF($E198=0,0,IF($G198&gt;=Comm_Slab2_Start,$F198*Comm_Slab2_Rate,$E198*Comm_Slab1_Paisa/Paisa_Per_PKR))</f>
        <v>437.32</v>
      </c>
      <c r="M198" s="9" t="n">
        <f aca="false">$L198*SST_Rate</f>
        <v>56.8516</v>
      </c>
      <c r="N198" s="9" t="n">
        <f aca="false">$L198+$M198</f>
        <v>494.1716</v>
      </c>
      <c r="O198" s="9" t="n">
        <f aca="false">$J198-$N198</f>
        <v>405.8284</v>
      </c>
      <c r="P198" s="10" t="n">
        <f aca="false">IF($C198=0,"N/A",$O198/$C198)</f>
        <v>0.00030179846805979</v>
      </c>
    </row>
    <row r="199" customFormat="false" ht="15" hidden="false" customHeight="false" outlineLevel="0" collapsed="false">
      <c r="A199" s="6" t="s">
        <v>115</v>
      </c>
      <c r="B199" s="33" t="n">
        <v>2500</v>
      </c>
      <c r="C199" s="33" t="n">
        <v>592076.21</v>
      </c>
      <c r="D199" s="9" t="n">
        <f aca="false">IF($B199=0,"",$C199/$B199)</f>
        <v>236.830484</v>
      </c>
      <c r="E199" s="33" t="n">
        <v>2500</v>
      </c>
      <c r="F199" s="6" t="n">
        <v>591750</v>
      </c>
      <c r="G199" s="9" t="n">
        <f aca="false">IF($E199=0,"",$F199/$E199)</f>
        <v>236.7</v>
      </c>
      <c r="H199" s="9" t="n">
        <f aca="false">IF(OR($B199=0,$E199=0),"N/A",$G199-$D199)</f>
        <v>-0.130483999999996</v>
      </c>
      <c r="I199" s="33" t="n">
        <f aca="false">$B199-$E199</f>
        <v>0</v>
      </c>
      <c r="J199" s="9" t="n">
        <f aca="false">$F199-$C199</f>
        <v>-326.209999999963</v>
      </c>
      <c r="K199" s="6" t="str">
        <f aca="false">IF($E199=0,"—",IF($G199&gt;=Comm_Slab2_Start,"0.0325% of sell value","0.0175 paisa per share"))</f>
        <v>0.0325% of sell value</v>
      </c>
      <c r="L199" s="9" t="n">
        <f aca="false">IF($E199=0,0,IF($G199&gt;=Comm_Slab2_Start,$F199*Comm_Slab2_Rate,$E199*Comm_Slab1_Paisa/Paisa_Per_PKR))</f>
        <v>192.31875</v>
      </c>
      <c r="M199" s="9" t="n">
        <f aca="false">$L199*SST_Rate</f>
        <v>25.0014375</v>
      </c>
      <c r="N199" s="9" t="n">
        <f aca="false">$L199+$M199</f>
        <v>217.3201875</v>
      </c>
      <c r="O199" s="9" t="n">
        <f aca="false">$J199-$N199</f>
        <v>-543.530187499963</v>
      </c>
      <c r="P199" s="10" t="n">
        <f aca="false">IF($C199=0,"N/A",$O199/$C199)</f>
        <v>-0.000918007138810666</v>
      </c>
    </row>
    <row r="200" customFormat="false" ht="15" hidden="false" customHeight="false" outlineLevel="0" collapsed="false">
      <c r="A200" s="6" t="s">
        <v>87</v>
      </c>
      <c r="B200" s="33" t="n">
        <v>2000</v>
      </c>
      <c r="C200" s="33" t="n">
        <v>475115</v>
      </c>
      <c r="D200" s="9" t="n">
        <f aca="false">IF($B200=0,"",$C200/$B200)</f>
        <v>237.5575</v>
      </c>
      <c r="E200" s="33" t="n">
        <v>2000</v>
      </c>
      <c r="F200" s="6" t="n">
        <v>476295</v>
      </c>
      <c r="G200" s="9" t="n">
        <f aca="false">IF($E200=0,"",$F200/$E200)</f>
        <v>238.1475</v>
      </c>
      <c r="H200" s="9" t="n">
        <f aca="false">IF(OR($B200=0,$E200=0),"N/A",$G200-$D200)</f>
        <v>0.590000000000003</v>
      </c>
      <c r="I200" s="33" t="n">
        <f aca="false">$B200-$E200</f>
        <v>0</v>
      </c>
      <c r="J200" s="9" t="n">
        <f aca="false">$F200-$C200</f>
        <v>1180</v>
      </c>
      <c r="K200" s="6" t="str">
        <f aca="false">IF($E200=0,"—",IF($G200&gt;=Comm_Slab2_Start,"0.0325% of sell value","0.0175 paisa per share"))</f>
        <v>0.0325% of sell value</v>
      </c>
      <c r="L200" s="9" t="n">
        <f aca="false">IF($E200=0,0,IF($G200&gt;=Comm_Slab2_Start,$F200*Comm_Slab2_Rate,$E200*Comm_Slab1_Paisa/Paisa_Per_PKR))</f>
        <v>154.795875</v>
      </c>
      <c r="M200" s="9" t="n">
        <f aca="false">$L200*SST_Rate</f>
        <v>20.12346375</v>
      </c>
      <c r="N200" s="9" t="n">
        <f aca="false">$L200+$M200</f>
        <v>174.91933875</v>
      </c>
      <c r="O200" s="9" t="n">
        <f aca="false">$J200-$N200</f>
        <v>1005.08066125</v>
      </c>
      <c r="P200" s="10" t="n">
        <f aca="false">IF($C200=0,"N/A",$O200/$C200)</f>
        <v>0.00211544712595898</v>
      </c>
    </row>
    <row r="201" customFormat="false" ht="15" hidden="false" customHeight="false" outlineLevel="0" collapsed="false">
      <c r="A201" s="6" t="s">
        <v>74</v>
      </c>
      <c r="B201" s="33" t="n">
        <v>12500</v>
      </c>
      <c r="C201" s="33" t="n">
        <v>1319780</v>
      </c>
      <c r="D201" s="9" t="n">
        <f aca="false">IF($B201=0,"",$C201/$B201)</f>
        <v>105.5824</v>
      </c>
      <c r="E201" s="33" t="n">
        <v>12500</v>
      </c>
      <c r="F201" s="6" t="n">
        <v>1321695</v>
      </c>
      <c r="G201" s="9" t="n">
        <f aca="false">IF($E201=0,"",$F201/$E201)</f>
        <v>105.7356</v>
      </c>
      <c r="H201" s="9" t="n">
        <f aca="false">IF(OR($B201=0,$E201=0),"N/A",$G201-$D201)</f>
        <v>0.153199999999998</v>
      </c>
      <c r="I201" s="33" t="n">
        <f aca="false">$B201-$E201</f>
        <v>0</v>
      </c>
      <c r="J201" s="9" t="n">
        <f aca="false">$F201-$C201</f>
        <v>1915</v>
      </c>
      <c r="K201" s="6" t="str">
        <f aca="false">IF($E201=0,"—",IF($G201&gt;=Comm_Slab2_Start,"0.0325% of sell value","0.0175 paisa per share"))</f>
        <v>0.0325% of sell value</v>
      </c>
      <c r="L201" s="9" t="n">
        <f aca="false">IF($E201=0,0,IF($G201&gt;=Comm_Slab2_Start,$F201*Comm_Slab2_Rate,$E201*Comm_Slab1_Paisa/Paisa_Per_PKR))</f>
        <v>429.550875</v>
      </c>
      <c r="M201" s="9" t="n">
        <f aca="false">$L201*SST_Rate</f>
        <v>55.84161375</v>
      </c>
      <c r="N201" s="9" t="n">
        <f aca="false">$L201+$M201</f>
        <v>485.39248875</v>
      </c>
      <c r="O201" s="9" t="n">
        <f aca="false">$J201-$N201</f>
        <v>1429.60751125</v>
      </c>
      <c r="P201" s="10" t="n">
        <f aca="false">IF($C201=0,"N/A",$O201/$C201)</f>
        <v>0.00108321652945946</v>
      </c>
    </row>
    <row r="202" customFormat="false" ht="15" hidden="false" customHeight="false" outlineLevel="0" collapsed="false">
      <c r="A202" s="6" t="s">
        <v>88</v>
      </c>
      <c r="B202" s="33" t="n">
        <v>1000</v>
      </c>
      <c r="C202" s="33" t="n">
        <v>371010</v>
      </c>
      <c r="D202" s="9" t="n">
        <f aca="false">IF($B202=0,"",$C202/$B202)</f>
        <v>371.01</v>
      </c>
      <c r="E202" s="33" t="n">
        <v>1000</v>
      </c>
      <c r="F202" s="6" t="n">
        <v>371900</v>
      </c>
      <c r="G202" s="9" t="n">
        <f aca="false">IF($E202=0,"",$F202/$E202)</f>
        <v>371.9</v>
      </c>
      <c r="H202" s="9" t="n">
        <f aca="false">IF(OR($B202=0,$E202=0),"N/A",$G202-$D202)</f>
        <v>0.889999999999986</v>
      </c>
      <c r="I202" s="33" t="n">
        <f aca="false">$B202-$E202</f>
        <v>0</v>
      </c>
      <c r="J202" s="9" t="n">
        <f aca="false">$F202-$C202</f>
        <v>890</v>
      </c>
      <c r="K202" s="6" t="str">
        <f aca="false">IF($E202=0,"—",IF($G202&gt;=Comm_Slab2_Start,"0.0325% of sell value","0.0175 paisa per share"))</f>
        <v>0.0325% of sell value</v>
      </c>
      <c r="L202" s="9" t="n">
        <f aca="false">IF($E202=0,0,IF($G202&gt;=Comm_Slab2_Start,$F202*Comm_Slab2_Rate,$E202*Comm_Slab1_Paisa/Paisa_Per_PKR))</f>
        <v>120.8675</v>
      </c>
      <c r="M202" s="9" t="n">
        <f aca="false">$L202*SST_Rate</f>
        <v>15.712775</v>
      </c>
      <c r="N202" s="9" t="n">
        <f aca="false">$L202+$M202</f>
        <v>136.580275</v>
      </c>
      <c r="O202" s="9" t="n">
        <f aca="false">$J202-$N202</f>
        <v>753.419725</v>
      </c>
      <c r="P202" s="10" t="n">
        <f aca="false">IF($C202=0,"N/A",$O202/$C202)</f>
        <v>0.00203072619336406</v>
      </c>
    </row>
    <row r="203" customFormat="false" ht="15" hidden="false" customHeight="false" outlineLevel="0" collapsed="false">
      <c r="A203" s="29" t="s">
        <v>42</v>
      </c>
      <c r="B203" s="50" t="n">
        <f aca="false">SUM(B195:B202)</f>
        <v>40920</v>
      </c>
      <c r="C203" s="50" t="n">
        <f aca="false">SUM(C195:C202)</f>
        <v>13686449.11</v>
      </c>
      <c r="D203" s="51" t="n">
        <f aca="false">IF($B203=0,"",$C203/$B203)</f>
        <v>334.468453323558</v>
      </c>
      <c r="E203" s="50" t="n">
        <f aca="false">SUM(E195:E202)</f>
        <v>40920</v>
      </c>
      <c r="F203" s="29" t="n">
        <f aca="false">SUM(F195:F202)</f>
        <v>13711864.41</v>
      </c>
      <c r="G203" s="51" t="n">
        <f aca="false">IF($E203=0,"",$F203/$E203)</f>
        <v>335.08955058651</v>
      </c>
      <c r="H203" s="51" t="n">
        <f aca="false">IF(OR($B203=0,$E203=0),"N/A",$G203-$D203)</f>
        <v>0.621097262952105</v>
      </c>
      <c r="I203" s="50" t="n">
        <f aca="false">$B203-$E203</f>
        <v>0</v>
      </c>
      <c r="J203" s="51" t="n">
        <f aca="false">SUM(J195:J202)</f>
        <v>25415.3000000001</v>
      </c>
      <c r="K203" s="29"/>
      <c r="L203" s="51" t="n">
        <f aca="false">SUM(L195:L202)</f>
        <v>4456.35593325</v>
      </c>
      <c r="M203" s="51" t="n">
        <f aca="false">SUM(M195:M202)</f>
        <v>579.3262713225</v>
      </c>
      <c r="N203" s="51" t="n">
        <f aca="false">$L203+$M203</f>
        <v>5035.6822045725</v>
      </c>
      <c r="O203" s="51" t="n">
        <f aca="false">SUM(O195:O202)</f>
        <v>20379.6177954276</v>
      </c>
      <c r="P203" s="52" t="n">
        <f aca="false">IF($C203=0,"N/A",$O203/$C203)</f>
        <v>0.00148903617232152</v>
      </c>
    </row>
    <row r="206" customFormat="false" ht="19.7" hidden="false" customHeight="false" outlineLevel="0" collapsed="false">
      <c r="A206" s="1" t="s">
        <v>167</v>
      </c>
    </row>
    <row r="207" customFormat="false" ht="15" hidden="false" customHeight="false" outlineLevel="0" collapsed="false">
      <c r="A207" s="2" t="s">
        <v>132</v>
      </c>
      <c r="D207" s="31" t="s">
        <v>133</v>
      </c>
    </row>
    <row r="208" customFormat="false" ht="15" hidden="false" customHeight="false" outlineLevel="0" collapsed="false">
      <c r="A208" s="3" t="s">
        <v>134</v>
      </c>
      <c r="B208" s="27" t="n">
        <v>46267</v>
      </c>
      <c r="D208" s="3" t="s">
        <v>135</v>
      </c>
      <c r="E208" s="47" t="n">
        <f aca="false">C223</f>
        <v>14853375</v>
      </c>
    </row>
    <row r="209" customFormat="false" ht="15" hidden="false" customHeight="false" outlineLevel="0" collapsed="false">
      <c r="A209" s="3" t="s">
        <v>136</v>
      </c>
      <c r="B209" s="28" t="s">
        <v>137</v>
      </c>
      <c r="D209" s="3" t="s">
        <v>138</v>
      </c>
      <c r="E209" s="47" t="n">
        <f aca="false">F223</f>
        <v>14863825.36</v>
      </c>
    </row>
    <row r="210" customFormat="false" ht="15" hidden="false" customHeight="false" outlineLevel="0" collapsed="false">
      <c r="A210" s="3" t="s">
        <v>139</v>
      </c>
      <c r="B210" s="28" t="s">
        <v>151</v>
      </c>
      <c r="D210" s="3" t="s">
        <v>11</v>
      </c>
      <c r="E210" s="47" t="n">
        <f aca="false">J223</f>
        <v>10450.36</v>
      </c>
    </row>
    <row r="211" customFormat="false" ht="15" hidden="false" customHeight="false" outlineLevel="0" collapsed="false">
      <c r="A211" s="3" t="s">
        <v>141</v>
      </c>
      <c r="B211" s="28" t="s">
        <v>142</v>
      </c>
      <c r="D211" s="3" t="s">
        <v>13</v>
      </c>
      <c r="E211" s="47" t="n">
        <f aca="false">L223</f>
        <v>4830.743242</v>
      </c>
    </row>
    <row r="212" customFormat="false" ht="15" hidden="false" customHeight="false" outlineLevel="0" collapsed="false">
      <c r="A212" s="3" t="s">
        <v>143</v>
      </c>
      <c r="B212" s="28" t="s">
        <v>144</v>
      </c>
      <c r="D212" s="3" t="s">
        <v>15</v>
      </c>
      <c r="E212" s="47" t="n">
        <f aca="false">M223</f>
        <v>627.99662146</v>
      </c>
    </row>
    <row r="213" customFormat="false" ht="15" hidden="false" customHeight="false" outlineLevel="0" collapsed="false">
      <c r="A213" s="3" t="s">
        <v>145</v>
      </c>
      <c r="B213" s="28" t="s">
        <v>168</v>
      </c>
      <c r="D213" s="3" t="s">
        <v>147</v>
      </c>
      <c r="E213" s="47" t="n">
        <f aca="false">N223</f>
        <v>5458.73986346</v>
      </c>
    </row>
    <row r="214" customFormat="false" ht="15" hidden="false" customHeight="false" outlineLevel="0" collapsed="false">
      <c r="D214" s="3" t="s">
        <v>16</v>
      </c>
      <c r="E214" s="47" t="n">
        <f aca="false">O223</f>
        <v>4991.62013654</v>
      </c>
    </row>
    <row r="215" customFormat="false" ht="15" hidden="false" customHeight="false" outlineLevel="0" collapsed="false">
      <c r="D215" s="3" t="s">
        <v>8</v>
      </c>
      <c r="E215" s="48" t="n">
        <f aca="false">P223</f>
        <v>0.000336059658935427</v>
      </c>
    </row>
    <row r="216" customFormat="false" ht="15" hidden="false" customHeight="false" outlineLevel="0" collapsed="false">
      <c r="D216" s="3" t="s">
        <v>148</v>
      </c>
      <c r="E216" s="49" t="n">
        <f aca="false">I223</f>
        <v>0</v>
      </c>
    </row>
    <row r="217" customFormat="false" ht="15" hidden="false" customHeight="false" outlineLevel="0" collapsed="false">
      <c r="A217" s="31" t="s">
        <v>149</v>
      </c>
    </row>
    <row r="218" customFormat="false" ht="30" hidden="false" customHeight="true" outlineLevel="0" collapsed="false">
      <c r="A218" s="18" t="s">
        <v>71</v>
      </c>
      <c r="B218" s="18" t="s">
        <v>33</v>
      </c>
      <c r="C218" s="18" t="s">
        <v>36</v>
      </c>
      <c r="D218" s="18" t="s">
        <v>60</v>
      </c>
      <c r="E218" s="18" t="s">
        <v>34</v>
      </c>
      <c r="F218" s="18" t="s">
        <v>37</v>
      </c>
      <c r="G218" s="18" t="s">
        <v>61</v>
      </c>
      <c r="H218" s="18" t="s">
        <v>62</v>
      </c>
      <c r="I218" s="18" t="s">
        <v>35</v>
      </c>
      <c r="J218" s="18" t="s">
        <v>38</v>
      </c>
      <c r="K218" s="18" t="s">
        <v>63</v>
      </c>
      <c r="L218" s="18" t="s">
        <v>39</v>
      </c>
      <c r="M218" s="18" t="s">
        <v>64</v>
      </c>
      <c r="N218" s="18" t="s">
        <v>41</v>
      </c>
      <c r="O218" s="18" t="s">
        <v>7</v>
      </c>
      <c r="P218" s="18" t="s">
        <v>8</v>
      </c>
    </row>
    <row r="219" customFormat="false" ht="15" hidden="false" customHeight="false" outlineLevel="0" collapsed="false">
      <c r="A219" s="6" t="s">
        <v>78</v>
      </c>
      <c r="B219" s="33" t="n">
        <v>5000</v>
      </c>
      <c r="C219" s="33" t="n">
        <v>2780985</v>
      </c>
      <c r="D219" s="9" t="n">
        <f aca="false">IF($B219=0,"",$C219/$B219)</f>
        <v>556.197</v>
      </c>
      <c r="E219" s="33" t="n">
        <v>5000</v>
      </c>
      <c r="F219" s="6" t="n">
        <v>2782500</v>
      </c>
      <c r="G219" s="9" t="n">
        <f aca="false">IF($E219=0,"",$F219/$E219)</f>
        <v>556.5</v>
      </c>
      <c r="H219" s="9" t="n">
        <f aca="false">IF(OR($B219=0,$E219=0),"N/A",$G219-$D219)</f>
        <v>0.302999999999997</v>
      </c>
      <c r="I219" s="33" t="n">
        <f aca="false">$B219-$E219</f>
        <v>0</v>
      </c>
      <c r="J219" s="9" t="n">
        <f aca="false">$F219-$C219</f>
        <v>1515</v>
      </c>
      <c r="K219" s="6" t="str">
        <f aca="false">IF($E219=0,"—",IF($G219&gt;=Comm_Slab2_Start,"0.0325% of sell value","0.0175 paisa per share"))</f>
        <v>0.0325% of sell value</v>
      </c>
      <c r="L219" s="9" t="n">
        <f aca="false">IF($E219=0,0,IF($G219&gt;=Comm_Slab2_Start,$F219*Comm_Slab2_Rate,$E219*Comm_Slab1_Paisa/Paisa_Per_PKR))</f>
        <v>904.3125</v>
      </c>
      <c r="M219" s="9" t="n">
        <f aca="false">$L219*SST_Rate</f>
        <v>117.560625</v>
      </c>
      <c r="N219" s="9" t="n">
        <f aca="false">$L219+$M219</f>
        <v>1021.873125</v>
      </c>
      <c r="O219" s="9" t="n">
        <f aca="false">$J219-$N219</f>
        <v>493.126875</v>
      </c>
      <c r="P219" s="10" t="n">
        <f aca="false">IF($C219=0,"N/A",$O219/$C219)</f>
        <v>0.000177320940242396</v>
      </c>
    </row>
    <row r="220" customFormat="false" ht="15" hidden="false" customHeight="false" outlineLevel="0" collapsed="false">
      <c r="A220" s="6" t="s">
        <v>92</v>
      </c>
      <c r="B220" s="33" t="n">
        <v>2500</v>
      </c>
      <c r="C220" s="33" t="n">
        <v>822500</v>
      </c>
      <c r="D220" s="9" t="n">
        <f aca="false">IF($B220=0,"",$C220/$B220)</f>
        <v>329</v>
      </c>
      <c r="E220" s="33" t="n">
        <v>2500</v>
      </c>
      <c r="F220" s="6" t="n">
        <v>822500</v>
      </c>
      <c r="G220" s="9" t="n">
        <f aca="false">IF($E220=0,"",$F220/$E220)</f>
        <v>329</v>
      </c>
      <c r="H220" s="9" t="n">
        <f aca="false">IF(OR($B220=0,$E220=0),"N/A",$G220-$D220)</f>
        <v>0</v>
      </c>
      <c r="I220" s="33" t="n">
        <f aca="false">$B220-$E220</f>
        <v>0</v>
      </c>
      <c r="J220" s="9" t="n">
        <f aca="false">$F220-$C220</f>
        <v>0</v>
      </c>
      <c r="K220" s="6" t="str">
        <f aca="false">IF($E220=0,"—",IF($G220&gt;=Comm_Slab2_Start,"0.0325% of sell value","0.0175 paisa per share"))</f>
        <v>0.0325% of sell value</v>
      </c>
      <c r="L220" s="9" t="n">
        <f aca="false">IF($E220=0,0,IF($G220&gt;=Comm_Slab2_Start,$F220*Comm_Slab2_Rate,$E220*Comm_Slab1_Paisa/Paisa_Per_PKR))</f>
        <v>267.3125</v>
      </c>
      <c r="M220" s="9" t="n">
        <f aca="false">$L220*SST_Rate</f>
        <v>34.750625</v>
      </c>
      <c r="N220" s="9" t="n">
        <f aca="false">$L220+$M220</f>
        <v>302.063125</v>
      </c>
      <c r="O220" s="9" t="n">
        <f aca="false">$J220-$N220</f>
        <v>-302.063125</v>
      </c>
      <c r="P220" s="10" t="n">
        <f aca="false">IF($C220=0,"N/A",$O220/$C220)</f>
        <v>-0.00036725</v>
      </c>
    </row>
    <row r="221" customFormat="false" ht="15" hidden="false" customHeight="false" outlineLevel="0" collapsed="false">
      <c r="A221" s="6" t="s">
        <v>75</v>
      </c>
      <c r="B221" s="33" t="n">
        <v>500</v>
      </c>
      <c r="C221" s="33" t="n">
        <v>53050</v>
      </c>
      <c r="D221" s="9" t="n">
        <f aca="false">IF($B221=0,"",$C221/$B221)</f>
        <v>106.1</v>
      </c>
      <c r="E221" s="33" t="n">
        <v>500</v>
      </c>
      <c r="F221" s="6" t="n">
        <v>53010.36</v>
      </c>
      <c r="G221" s="9" t="n">
        <f aca="false">IF($E221=0,"",$F221/$E221)</f>
        <v>106.02072</v>
      </c>
      <c r="H221" s="9" t="n">
        <f aca="false">IF(OR($B221=0,$E221=0),"N/A",$G221-$D221)</f>
        <v>-0.0792799999999971</v>
      </c>
      <c r="I221" s="33" t="n">
        <f aca="false">$B221-$E221</f>
        <v>0</v>
      </c>
      <c r="J221" s="9" t="n">
        <f aca="false">$F221-$C221</f>
        <v>-39.6399999999994</v>
      </c>
      <c r="K221" s="6" t="str">
        <f aca="false">IF($E221=0,"—",IF($G221&gt;=Comm_Slab2_Start,"0.0325% of sell value","0.0175 paisa per share"))</f>
        <v>0.0325% of sell value</v>
      </c>
      <c r="L221" s="9" t="n">
        <f aca="false">IF($E221=0,0,IF($G221&gt;=Comm_Slab2_Start,$F221*Comm_Slab2_Rate,$E221*Comm_Slab1_Paisa/Paisa_Per_PKR))</f>
        <v>17.228367</v>
      </c>
      <c r="M221" s="9" t="n">
        <f aca="false">$L221*SST_Rate</f>
        <v>2.23968771</v>
      </c>
      <c r="N221" s="9" t="n">
        <f aca="false">$L221+$M221</f>
        <v>19.46805471</v>
      </c>
      <c r="O221" s="9" t="n">
        <f aca="false">$J221-$N221</f>
        <v>-59.1080547099994</v>
      </c>
      <c r="P221" s="10" t="n">
        <f aca="false">IF($C221=0,"N/A",$O221/$C221)</f>
        <v>-0.0011141951877474</v>
      </c>
    </row>
    <row r="222" customFormat="false" ht="15" hidden="false" customHeight="false" outlineLevel="0" collapsed="false">
      <c r="A222" s="6" t="s">
        <v>74</v>
      </c>
      <c r="B222" s="33" t="n">
        <v>107000</v>
      </c>
      <c r="C222" s="33" t="n">
        <v>11196840</v>
      </c>
      <c r="D222" s="9" t="n">
        <f aca="false">IF($B222=0,"",$C222/$B222)</f>
        <v>104.643364485981</v>
      </c>
      <c r="E222" s="33" t="n">
        <v>107000</v>
      </c>
      <c r="F222" s="6" t="n">
        <v>11205815</v>
      </c>
      <c r="G222" s="9" t="n">
        <f aca="false">IF($E222=0,"",$F222/$E222)</f>
        <v>104.727242990654</v>
      </c>
      <c r="H222" s="9" t="n">
        <f aca="false">IF(OR($B222=0,$E222=0),"N/A",$G222-$D222)</f>
        <v>0.0838785046728958</v>
      </c>
      <c r="I222" s="33" t="n">
        <f aca="false">$B222-$E222</f>
        <v>0</v>
      </c>
      <c r="J222" s="9" t="n">
        <f aca="false">$F222-$C222</f>
        <v>8975</v>
      </c>
      <c r="K222" s="6" t="str">
        <f aca="false">IF($E222=0,"—",IF($G222&gt;=Comm_Slab2_Start,"0.0325% of sell value","0.0175 paisa per share"))</f>
        <v>0.0325% of sell value</v>
      </c>
      <c r="L222" s="9" t="n">
        <f aca="false">IF($E222=0,0,IF($G222&gt;=Comm_Slab2_Start,$F222*Comm_Slab2_Rate,$E222*Comm_Slab1_Paisa/Paisa_Per_PKR))</f>
        <v>3641.889875</v>
      </c>
      <c r="M222" s="9" t="n">
        <f aca="false">$L222*SST_Rate</f>
        <v>473.44568375</v>
      </c>
      <c r="N222" s="9" t="n">
        <f aca="false">$L222+$M222</f>
        <v>4115.33555875</v>
      </c>
      <c r="O222" s="9" t="n">
        <f aca="false">$J222-$N222</f>
        <v>4859.66444125</v>
      </c>
      <c r="P222" s="10" t="n">
        <f aca="false">IF($C222=0,"N/A",$O222/$C222)</f>
        <v>0.000434021066769731</v>
      </c>
    </row>
    <row r="223" customFormat="false" ht="15" hidden="false" customHeight="false" outlineLevel="0" collapsed="false">
      <c r="A223" s="29" t="s">
        <v>42</v>
      </c>
      <c r="B223" s="50" t="n">
        <f aca="false">SUM(B219:B222)</f>
        <v>115000</v>
      </c>
      <c r="C223" s="50" t="n">
        <f aca="false">SUM(C219:C222)</f>
        <v>14853375</v>
      </c>
      <c r="D223" s="51" t="n">
        <f aca="false">IF($B223=0,"",$C223/$B223)</f>
        <v>129.159782608696</v>
      </c>
      <c r="E223" s="50" t="n">
        <f aca="false">SUM(E219:E222)</f>
        <v>115000</v>
      </c>
      <c r="F223" s="29" t="n">
        <f aca="false">SUM(F219:F222)</f>
        <v>14863825.36</v>
      </c>
      <c r="G223" s="51" t="n">
        <f aca="false">IF($E223=0,"",$F223/$E223)</f>
        <v>129.250655304348</v>
      </c>
      <c r="H223" s="51" t="n">
        <f aca="false">IF(OR($B223=0,$E223=0),"N/A",$G223-$D223)</f>
        <v>0.0908726956521662</v>
      </c>
      <c r="I223" s="50" t="n">
        <f aca="false">$B223-$E223</f>
        <v>0</v>
      </c>
      <c r="J223" s="51" t="n">
        <f aca="false">SUM(J219:J222)</f>
        <v>10450.36</v>
      </c>
      <c r="K223" s="29"/>
      <c r="L223" s="51" t="n">
        <f aca="false">SUM(L219:L222)</f>
        <v>4830.743242</v>
      </c>
      <c r="M223" s="51" t="n">
        <f aca="false">SUM(M219:M222)</f>
        <v>627.99662146</v>
      </c>
      <c r="N223" s="51" t="n">
        <f aca="false">$L223+$M223</f>
        <v>5458.73986346</v>
      </c>
      <c r="O223" s="51" t="n">
        <f aca="false">SUM(O219:O222)</f>
        <v>4991.62013654</v>
      </c>
      <c r="P223" s="52" t="n">
        <f aca="false">IF($C223=0,"N/A",$O223/$C223)</f>
        <v>0.000336059658935427</v>
      </c>
    </row>
    <row r="226" customFormat="false" ht="19.7" hidden="false" customHeight="false" outlineLevel="0" collapsed="false">
      <c r="A226" s="1" t="s">
        <v>169</v>
      </c>
    </row>
    <row r="227" customFormat="false" ht="15" hidden="false" customHeight="false" outlineLevel="0" collapsed="false">
      <c r="A227" s="2" t="s">
        <v>132</v>
      </c>
      <c r="D227" s="31" t="s">
        <v>133</v>
      </c>
    </row>
    <row r="228" customFormat="false" ht="15" hidden="false" customHeight="false" outlineLevel="0" collapsed="false">
      <c r="A228" s="3" t="s">
        <v>134</v>
      </c>
      <c r="B228" s="27" t="n">
        <v>46268</v>
      </c>
      <c r="D228" s="3" t="s">
        <v>135</v>
      </c>
      <c r="E228" s="47" t="n">
        <f aca="false">C249</f>
        <v>15859132.11</v>
      </c>
    </row>
    <row r="229" customFormat="false" ht="15" hidden="false" customHeight="false" outlineLevel="0" collapsed="false">
      <c r="A229" s="3" t="s">
        <v>136</v>
      </c>
      <c r="B229" s="28" t="s">
        <v>137</v>
      </c>
      <c r="D229" s="3" t="s">
        <v>138</v>
      </c>
      <c r="E229" s="47" t="n">
        <f aca="false">F249</f>
        <v>15867401.7</v>
      </c>
    </row>
    <row r="230" customFormat="false" ht="15" hidden="false" customHeight="false" outlineLevel="0" collapsed="false">
      <c r="A230" s="3" t="s">
        <v>139</v>
      </c>
      <c r="B230" s="28" t="s">
        <v>151</v>
      </c>
      <c r="D230" s="3" t="s">
        <v>11</v>
      </c>
      <c r="E230" s="47" t="n">
        <f aca="false">J249</f>
        <v>8269.59000000008</v>
      </c>
    </row>
    <row r="231" customFormat="false" ht="15" hidden="false" customHeight="false" outlineLevel="0" collapsed="false">
      <c r="A231" s="3" t="s">
        <v>141</v>
      </c>
      <c r="B231" s="28" t="s">
        <v>142</v>
      </c>
      <c r="D231" s="3" t="s">
        <v>13</v>
      </c>
      <c r="E231" s="47" t="n">
        <f aca="false">L249</f>
        <v>5156.9055525</v>
      </c>
    </row>
    <row r="232" customFormat="false" ht="15" hidden="false" customHeight="false" outlineLevel="0" collapsed="false">
      <c r="A232" s="3" t="s">
        <v>143</v>
      </c>
      <c r="B232" s="28" t="s">
        <v>144</v>
      </c>
      <c r="D232" s="3" t="s">
        <v>15</v>
      </c>
      <c r="E232" s="47" t="n">
        <f aca="false">M249</f>
        <v>670.397721825</v>
      </c>
    </row>
    <row r="233" customFormat="false" ht="15" hidden="false" customHeight="false" outlineLevel="0" collapsed="false">
      <c r="A233" s="3" t="s">
        <v>145</v>
      </c>
      <c r="B233" s="28" t="s">
        <v>170</v>
      </c>
      <c r="D233" s="3" t="s">
        <v>147</v>
      </c>
      <c r="E233" s="47" t="n">
        <f aca="false">N249</f>
        <v>5827.303274325</v>
      </c>
    </row>
    <row r="234" customFormat="false" ht="15" hidden="false" customHeight="false" outlineLevel="0" collapsed="false">
      <c r="D234" s="3" t="s">
        <v>16</v>
      </c>
      <c r="E234" s="47" t="n">
        <f aca="false">O249</f>
        <v>2442.28672567508</v>
      </c>
    </row>
    <row r="235" customFormat="false" ht="15" hidden="false" customHeight="false" outlineLevel="0" collapsed="false">
      <c r="D235" s="3" t="s">
        <v>8</v>
      </c>
      <c r="E235" s="48" t="n">
        <f aca="false">P249</f>
        <v>0.000153998762904251</v>
      </c>
    </row>
    <row r="236" customFormat="false" ht="15" hidden="false" customHeight="false" outlineLevel="0" collapsed="false">
      <c r="D236" s="3" t="s">
        <v>148</v>
      </c>
      <c r="E236" s="49" t="n">
        <f aca="false">I249</f>
        <v>0</v>
      </c>
    </row>
    <row r="237" customFormat="false" ht="15" hidden="false" customHeight="false" outlineLevel="0" collapsed="false">
      <c r="A237" s="31" t="s">
        <v>149</v>
      </c>
    </row>
    <row r="238" customFormat="false" ht="30" hidden="false" customHeight="true" outlineLevel="0" collapsed="false">
      <c r="A238" s="18" t="s">
        <v>71</v>
      </c>
      <c r="B238" s="18" t="s">
        <v>33</v>
      </c>
      <c r="C238" s="18" t="s">
        <v>36</v>
      </c>
      <c r="D238" s="18" t="s">
        <v>60</v>
      </c>
      <c r="E238" s="18" t="s">
        <v>34</v>
      </c>
      <c r="F238" s="18" t="s">
        <v>37</v>
      </c>
      <c r="G238" s="18" t="s">
        <v>61</v>
      </c>
      <c r="H238" s="18" t="s">
        <v>62</v>
      </c>
      <c r="I238" s="18" t="s">
        <v>35</v>
      </c>
      <c r="J238" s="18" t="s">
        <v>38</v>
      </c>
      <c r="K238" s="18" t="s">
        <v>63</v>
      </c>
      <c r="L238" s="18" t="s">
        <v>39</v>
      </c>
      <c r="M238" s="18" t="s">
        <v>64</v>
      </c>
      <c r="N238" s="18" t="s">
        <v>41</v>
      </c>
      <c r="O238" s="18" t="s">
        <v>7</v>
      </c>
      <c r="P238" s="18" t="s">
        <v>8</v>
      </c>
    </row>
    <row r="239" customFormat="false" ht="15" hidden="false" customHeight="false" outlineLevel="0" collapsed="false">
      <c r="A239" s="6" t="s">
        <v>93</v>
      </c>
      <c r="B239" s="33" t="n">
        <v>5000</v>
      </c>
      <c r="C239" s="33" t="n">
        <v>1024990.21</v>
      </c>
      <c r="D239" s="9" t="n">
        <f aca="false">IF($B239=0,"",$C239/$B239)</f>
        <v>204.998042</v>
      </c>
      <c r="E239" s="33" t="n">
        <v>5000</v>
      </c>
      <c r="F239" s="6" t="n">
        <v>1025002.47</v>
      </c>
      <c r="G239" s="9" t="n">
        <f aca="false">IF($E239=0,"",$F239/$E239)</f>
        <v>205.000494</v>
      </c>
      <c r="H239" s="9" t="n">
        <f aca="false">IF(OR($B239=0,$E239=0),"N/A",$G239-$D239)</f>
        <v>0.00245200000000523</v>
      </c>
      <c r="I239" s="33" t="n">
        <f aca="false">$B239-$E239</f>
        <v>0</v>
      </c>
      <c r="J239" s="9" t="n">
        <f aca="false">$F239-$C239</f>
        <v>12.2600000000093</v>
      </c>
      <c r="K239" s="6" t="str">
        <f aca="false">IF($E239=0,"—",IF($G239&gt;=Comm_Slab2_Start,"0.0325% of sell value","0.0175 paisa per share"))</f>
        <v>0.0325% of sell value</v>
      </c>
      <c r="L239" s="9" t="n">
        <f aca="false">IF($E239=0,0,IF($G239&gt;=Comm_Slab2_Start,$F239*Comm_Slab2_Rate,$E239*Comm_Slab1_Paisa/Paisa_Per_PKR))</f>
        <v>333.12580275</v>
      </c>
      <c r="M239" s="9" t="n">
        <f aca="false">$L239*SST_Rate</f>
        <v>43.3063543575</v>
      </c>
      <c r="N239" s="9" t="n">
        <f aca="false">$L239+$M239</f>
        <v>376.4321571075</v>
      </c>
      <c r="O239" s="9" t="n">
        <f aca="false">$J239-$N239</f>
        <v>-364.172157107491</v>
      </c>
      <c r="P239" s="10" t="n">
        <f aca="false">IF($C239=0,"N/A",$O239/$C239)</f>
        <v>-0.000355293302857488</v>
      </c>
    </row>
    <row r="240" customFormat="false" ht="15" hidden="false" customHeight="false" outlineLevel="0" collapsed="false">
      <c r="A240" s="6" t="s">
        <v>85</v>
      </c>
      <c r="B240" s="33" t="n">
        <v>5000</v>
      </c>
      <c r="C240" s="33" t="n">
        <v>1033050</v>
      </c>
      <c r="D240" s="9" t="n">
        <f aca="false">IF($B240=0,"",$C240/$B240)</f>
        <v>206.61</v>
      </c>
      <c r="E240" s="33" t="n">
        <v>5000</v>
      </c>
      <c r="F240" s="6" t="n">
        <v>1033050</v>
      </c>
      <c r="G240" s="9" t="n">
        <f aca="false">IF($E240=0,"",$F240/$E240)</f>
        <v>206.61</v>
      </c>
      <c r="H240" s="9" t="n">
        <f aca="false">IF(OR($B240=0,$E240=0),"N/A",$G240-$D240)</f>
        <v>0</v>
      </c>
      <c r="I240" s="33" t="n">
        <f aca="false">$B240-$E240</f>
        <v>0</v>
      </c>
      <c r="J240" s="9" t="n">
        <f aca="false">$F240-$C240</f>
        <v>0</v>
      </c>
      <c r="K240" s="6" t="str">
        <f aca="false">IF($E240=0,"—",IF($G240&gt;=Comm_Slab2_Start,"0.0325% of sell value","0.0175 paisa per share"))</f>
        <v>0.0325% of sell value</v>
      </c>
      <c r="L240" s="9" t="n">
        <f aca="false">IF($E240=0,0,IF($G240&gt;=Comm_Slab2_Start,$F240*Comm_Slab2_Rate,$E240*Comm_Slab1_Paisa/Paisa_Per_PKR))</f>
        <v>335.74125</v>
      </c>
      <c r="M240" s="9" t="n">
        <f aca="false">$L240*SST_Rate</f>
        <v>43.6463625</v>
      </c>
      <c r="N240" s="9" t="n">
        <f aca="false">$L240+$M240</f>
        <v>379.3876125</v>
      </c>
      <c r="O240" s="9" t="n">
        <f aca="false">$J240-$N240</f>
        <v>-379.3876125</v>
      </c>
      <c r="P240" s="10" t="n">
        <f aca="false">IF($C240=0,"N/A",$O240/$C240)</f>
        <v>-0.00036725</v>
      </c>
    </row>
    <row r="241" customFormat="false" ht="15" hidden="false" customHeight="false" outlineLevel="0" collapsed="false">
      <c r="A241" s="6" t="s">
        <v>126</v>
      </c>
      <c r="B241" s="33" t="n">
        <v>2500</v>
      </c>
      <c r="C241" s="33" t="n">
        <v>473000</v>
      </c>
      <c r="D241" s="9" t="n">
        <f aca="false">IF($B241=0,"",$C241/$B241)</f>
        <v>189.2</v>
      </c>
      <c r="E241" s="33" t="n">
        <v>2500</v>
      </c>
      <c r="F241" s="6" t="n">
        <v>472625</v>
      </c>
      <c r="G241" s="9" t="n">
        <f aca="false">IF($E241=0,"",$F241/$E241)</f>
        <v>189.05</v>
      </c>
      <c r="H241" s="9" t="n">
        <f aca="false">IF(OR($B241=0,$E241=0),"N/A",$G241-$D241)</f>
        <v>-0.149999999999977</v>
      </c>
      <c r="I241" s="33" t="n">
        <f aca="false">$B241-$E241</f>
        <v>0</v>
      </c>
      <c r="J241" s="9" t="n">
        <f aca="false">$F241-$C241</f>
        <v>-375</v>
      </c>
      <c r="K241" s="6" t="str">
        <f aca="false">IF($E241=0,"—",IF($G241&gt;=Comm_Slab2_Start,"0.0325% of sell value","0.0175 paisa per share"))</f>
        <v>0.0325% of sell value</v>
      </c>
      <c r="L241" s="9" t="n">
        <f aca="false">IF($E241=0,0,IF($G241&gt;=Comm_Slab2_Start,$F241*Comm_Slab2_Rate,$E241*Comm_Slab1_Paisa/Paisa_Per_PKR))</f>
        <v>153.603125</v>
      </c>
      <c r="M241" s="9" t="n">
        <f aca="false">$L241*SST_Rate</f>
        <v>19.96840625</v>
      </c>
      <c r="N241" s="9" t="n">
        <f aca="false">$L241+$M241</f>
        <v>173.57153125</v>
      </c>
      <c r="O241" s="9" t="n">
        <f aca="false">$J241-$N241</f>
        <v>-548.57153125</v>
      </c>
      <c r="P241" s="10" t="n">
        <f aca="false">IF($C241=0,"N/A",$O241/$C241)</f>
        <v>-0.00115977067917548</v>
      </c>
    </row>
    <row r="242" customFormat="false" ht="15" hidden="false" customHeight="false" outlineLevel="0" collapsed="false">
      <c r="A242" s="6" t="s">
        <v>78</v>
      </c>
      <c r="B242" s="33" t="n">
        <v>10500</v>
      </c>
      <c r="C242" s="33" t="n">
        <v>5489185</v>
      </c>
      <c r="D242" s="9" t="n">
        <f aca="false">IF($B242=0,"",$C242/$B242)</f>
        <v>522.779523809524</v>
      </c>
      <c r="E242" s="33" t="n">
        <v>10500</v>
      </c>
      <c r="F242" s="6" t="n">
        <v>5486685</v>
      </c>
      <c r="G242" s="9" t="n">
        <f aca="false">IF($E242=0,"",$F242/$E242)</f>
        <v>522.541428571429</v>
      </c>
      <c r="H242" s="9" t="n">
        <f aca="false">IF(OR($B242=0,$E242=0),"N/A",$G242-$D242)</f>
        <v>-0.238095238095184</v>
      </c>
      <c r="I242" s="33" t="n">
        <f aca="false">$B242-$E242</f>
        <v>0</v>
      </c>
      <c r="J242" s="9" t="n">
        <f aca="false">$F242-$C242</f>
        <v>-2500</v>
      </c>
      <c r="K242" s="6" t="str">
        <f aca="false">IF($E242=0,"—",IF($G242&gt;=Comm_Slab2_Start,"0.0325% of sell value","0.0175 paisa per share"))</f>
        <v>0.0325% of sell value</v>
      </c>
      <c r="L242" s="9" t="n">
        <f aca="false">IF($E242=0,0,IF($G242&gt;=Comm_Slab2_Start,$F242*Comm_Slab2_Rate,$E242*Comm_Slab1_Paisa/Paisa_Per_PKR))</f>
        <v>1783.172625</v>
      </c>
      <c r="M242" s="9" t="n">
        <f aca="false">$L242*SST_Rate</f>
        <v>231.81244125</v>
      </c>
      <c r="N242" s="9" t="n">
        <f aca="false">$L242+$M242</f>
        <v>2014.98506625</v>
      </c>
      <c r="O242" s="9" t="n">
        <f aca="false">$J242-$N242</f>
        <v>-4514.98506625</v>
      </c>
      <c r="P242" s="10" t="n">
        <f aca="false">IF($C242=0,"N/A",$O242/$C242)</f>
        <v>-0.000822523756486619</v>
      </c>
    </row>
    <row r="243" customFormat="false" ht="15" hidden="false" customHeight="false" outlineLevel="0" collapsed="false">
      <c r="A243" s="6" t="s">
        <v>92</v>
      </c>
      <c r="B243" s="33" t="n">
        <v>2500</v>
      </c>
      <c r="C243" s="33" t="n">
        <v>823750</v>
      </c>
      <c r="D243" s="9" t="n">
        <f aca="false">IF($B243=0,"",$C243/$B243)</f>
        <v>329.5</v>
      </c>
      <c r="E243" s="33" t="n">
        <v>2500</v>
      </c>
      <c r="F243" s="6" t="n">
        <v>823754.23</v>
      </c>
      <c r="G243" s="9" t="n">
        <f aca="false">IF($E243=0,"",$F243/$E243)</f>
        <v>329.501692</v>
      </c>
      <c r="H243" s="9" t="n">
        <f aca="false">IF(OR($B243=0,$E243=0),"N/A",$G243-$D243)</f>
        <v>0.00169199999999137</v>
      </c>
      <c r="I243" s="33" t="n">
        <f aca="false">$B243-$E243</f>
        <v>0</v>
      </c>
      <c r="J243" s="9" t="n">
        <f aca="false">$F243-$C243</f>
        <v>4.22999999998137</v>
      </c>
      <c r="K243" s="6" t="str">
        <f aca="false">IF($E243=0,"—",IF($G243&gt;=Comm_Slab2_Start,"0.0325% of sell value","0.0175 paisa per share"))</f>
        <v>0.0325% of sell value</v>
      </c>
      <c r="L243" s="9" t="n">
        <f aca="false">IF($E243=0,0,IF($G243&gt;=Comm_Slab2_Start,$F243*Comm_Slab2_Rate,$E243*Comm_Slab1_Paisa/Paisa_Per_PKR))</f>
        <v>267.72012475</v>
      </c>
      <c r="M243" s="9" t="n">
        <f aca="false">$L243*SST_Rate</f>
        <v>34.8036162175</v>
      </c>
      <c r="N243" s="9" t="n">
        <f aca="false">$L243+$M243</f>
        <v>302.5237409675</v>
      </c>
      <c r="O243" s="9" t="n">
        <f aca="false">$J243-$N243</f>
        <v>-298.293740967519</v>
      </c>
      <c r="P243" s="10" t="n">
        <f aca="false">IF($C243=0,"N/A",$O243/$C243)</f>
        <v>-0.000362116832737504</v>
      </c>
    </row>
    <row r="244" customFormat="false" ht="15" hidden="false" customHeight="false" outlineLevel="0" collapsed="false">
      <c r="A244" s="6" t="s">
        <v>109</v>
      </c>
      <c r="B244" s="33" t="n">
        <v>1000</v>
      </c>
      <c r="C244" s="33" t="n">
        <v>259650</v>
      </c>
      <c r="D244" s="9" t="n">
        <f aca="false">IF($B244=0,"",$C244/$B244)</f>
        <v>259.65</v>
      </c>
      <c r="E244" s="33" t="n">
        <v>1000</v>
      </c>
      <c r="F244" s="6" t="n">
        <v>260000</v>
      </c>
      <c r="G244" s="9" t="n">
        <f aca="false">IF($E244=0,"",$F244/$E244)</f>
        <v>260</v>
      </c>
      <c r="H244" s="9" t="n">
        <f aca="false">IF(OR($B244=0,$E244=0),"N/A",$G244-$D244)</f>
        <v>0.350000000000023</v>
      </c>
      <c r="I244" s="33" t="n">
        <f aca="false">$B244-$E244</f>
        <v>0</v>
      </c>
      <c r="J244" s="9" t="n">
        <f aca="false">$F244-$C244</f>
        <v>350</v>
      </c>
      <c r="K244" s="6" t="str">
        <f aca="false">IF($E244=0,"—",IF($G244&gt;=Comm_Slab2_Start,"0.0325% of sell value","0.0175 paisa per share"))</f>
        <v>0.0325% of sell value</v>
      </c>
      <c r="L244" s="9" t="n">
        <f aca="false">IF($E244=0,0,IF($G244&gt;=Comm_Slab2_Start,$F244*Comm_Slab2_Rate,$E244*Comm_Slab1_Paisa/Paisa_Per_PKR))</f>
        <v>84.5</v>
      </c>
      <c r="M244" s="9" t="n">
        <f aca="false">$L244*SST_Rate</f>
        <v>10.985</v>
      </c>
      <c r="N244" s="9" t="n">
        <f aca="false">$L244+$M244</f>
        <v>95.485</v>
      </c>
      <c r="O244" s="9" t="n">
        <f aca="false">$J244-$N244</f>
        <v>254.515</v>
      </c>
      <c r="P244" s="10" t="n">
        <f aca="false">IF($C244=0,"N/A",$O244/$C244)</f>
        <v>0.000980223377623724</v>
      </c>
    </row>
    <row r="245" customFormat="false" ht="15" hidden="false" customHeight="false" outlineLevel="0" collapsed="false">
      <c r="A245" s="6" t="s">
        <v>115</v>
      </c>
      <c r="B245" s="33" t="n">
        <v>5000</v>
      </c>
      <c r="C245" s="33" t="n">
        <v>1141686.9</v>
      </c>
      <c r="D245" s="9" t="n">
        <f aca="false">IF($B245=0,"",$C245/$B245)</f>
        <v>228.33738</v>
      </c>
      <c r="E245" s="33" t="n">
        <v>5000</v>
      </c>
      <c r="F245" s="6" t="n">
        <v>1142400</v>
      </c>
      <c r="G245" s="9" t="n">
        <f aca="false">IF($E245=0,"",$F245/$E245)</f>
        <v>228.48</v>
      </c>
      <c r="H245" s="9" t="n">
        <f aca="false">IF(OR($B245=0,$E245=0),"N/A",$G245-$D245)</f>
        <v>0.142620000000022</v>
      </c>
      <c r="I245" s="33" t="n">
        <f aca="false">$B245-$E245</f>
        <v>0</v>
      </c>
      <c r="J245" s="9" t="n">
        <f aca="false">$F245-$C245</f>
        <v>713.100000000093</v>
      </c>
      <c r="K245" s="6" t="str">
        <f aca="false">IF($E245=0,"—",IF($G245&gt;=Comm_Slab2_Start,"0.0325% of sell value","0.0175 paisa per share"))</f>
        <v>0.0325% of sell value</v>
      </c>
      <c r="L245" s="9" t="n">
        <f aca="false">IF($E245=0,0,IF($G245&gt;=Comm_Slab2_Start,$F245*Comm_Slab2_Rate,$E245*Comm_Slab1_Paisa/Paisa_Per_PKR))</f>
        <v>371.28</v>
      </c>
      <c r="M245" s="9" t="n">
        <f aca="false">$L245*SST_Rate</f>
        <v>48.2664</v>
      </c>
      <c r="N245" s="9" t="n">
        <f aca="false">$L245+$M245</f>
        <v>419.5464</v>
      </c>
      <c r="O245" s="9" t="n">
        <f aca="false">$J245-$N245</f>
        <v>293.553600000093</v>
      </c>
      <c r="P245" s="10" t="n">
        <f aca="false">IF($C245=0,"N/A",$O245/$C245)</f>
        <v>0.000257122683986383</v>
      </c>
    </row>
    <row r="246" customFormat="false" ht="15" hidden="false" customHeight="false" outlineLevel="0" collapsed="false">
      <c r="A246" s="6" t="s">
        <v>75</v>
      </c>
      <c r="B246" s="33" t="n">
        <v>5000</v>
      </c>
      <c r="C246" s="33" t="n">
        <v>524000</v>
      </c>
      <c r="D246" s="9" t="n">
        <f aca="false">IF($B246=0,"",$C246/$B246)</f>
        <v>104.8</v>
      </c>
      <c r="E246" s="33" t="n">
        <v>5000</v>
      </c>
      <c r="F246" s="6" t="n">
        <v>525000</v>
      </c>
      <c r="G246" s="9" t="n">
        <f aca="false">IF($E246=0,"",$F246/$E246)</f>
        <v>105</v>
      </c>
      <c r="H246" s="9" t="n">
        <f aca="false">IF(OR($B246=0,$E246=0),"N/A",$G246-$D246)</f>
        <v>0.200000000000003</v>
      </c>
      <c r="I246" s="33" t="n">
        <f aca="false">$B246-$E246</f>
        <v>0</v>
      </c>
      <c r="J246" s="9" t="n">
        <f aca="false">$F246-$C246</f>
        <v>1000</v>
      </c>
      <c r="K246" s="6" t="str">
        <f aca="false">IF($E246=0,"—",IF($G246&gt;=Comm_Slab2_Start,"0.0325% of sell value","0.0175 paisa per share"))</f>
        <v>0.0325% of sell value</v>
      </c>
      <c r="L246" s="9" t="n">
        <f aca="false">IF($E246=0,0,IF($G246&gt;=Comm_Slab2_Start,$F246*Comm_Slab2_Rate,$E246*Comm_Slab1_Paisa/Paisa_Per_PKR))</f>
        <v>170.625</v>
      </c>
      <c r="M246" s="9" t="n">
        <f aca="false">$L246*SST_Rate</f>
        <v>22.18125</v>
      </c>
      <c r="N246" s="9" t="n">
        <f aca="false">$L246+$M246</f>
        <v>192.80625</v>
      </c>
      <c r="O246" s="9" t="n">
        <f aca="false">$J246-$N246</f>
        <v>807.19375</v>
      </c>
      <c r="P246" s="10" t="n">
        <f aca="false">IF($C246=0,"N/A",$O246/$C246)</f>
        <v>0.00154044608778626</v>
      </c>
    </row>
    <row r="247" customFormat="false" ht="15" hidden="false" customHeight="false" outlineLevel="0" collapsed="false">
      <c r="A247" s="6" t="s">
        <v>74</v>
      </c>
      <c r="B247" s="33" t="n">
        <v>48000</v>
      </c>
      <c r="C247" s="33" t="n">
        <v>5052245</v>
      </c>
      <c r="D247" s="9" t="n">
        <f aca="false">IF($B247=0,"",$C247/$B247)</f>
        <v>105.255104166667</v>
      </c>
      <c r="E247" s="33" t="n">
        <v>48000</v>
      </c>
      <c r="F247" s="6" t="n">
        <v>5061075</v>
      </c>
      <c r="G247" s="9" t="n">
        <f aca="false">IF($E247=0,"",$F247/$E247)</f>
        <v>105.4390625</v>
      </c>
      <c r="H247" s="9" t="n">
        <f aca="false">IF(OR($B247=0,$E247=0),"N/A",$G247-$D247)</f>
        <v>0.183958333333337</v>
      </c>
      <c r="I247" s="33" t="n">
        <f aca="false">$B247-$E247</f>
        <v>0</v>
      </c>
      <c r="J247" s="9" t="n">
        <f aca="false">$F247-$C247</f>
        <v>8830</v>
      </c>
      <c r="K247" s="6" t="str">
        <f aca="false">IF($E247=0,"—",IF($G247&gt;=Comm_Slab2_Start,"0.0325% of sell value","0.0175 paisa per share"))</f>
        <v>0.0325% of sell value</v>
      </c>
      <c r="L247" s="9" t="n">
        <f aca="false">IF($E247=0,0,IF($G247&gt;=Comm_Slab2_Start,$F247*Comm_Slab2_Rate,$E247*Comm_Slab1_Paisa/Paisa_Per_PKR))</f>
        <v>1644.849375</v>
      </c>
      <c r="M247" s="9" t="n">
        <f aca="false">$L247*SST_Rate</f>
        <v>213.83041875</v>
      </c>
      <c r="N247" s="9" t="n">
        <f aca="false">$L247+$M247</f>
        <v>1858.67979375</v>
      </c>
      <c r="O247" s="9" t="n">
        <f aca="false">$J247-$N247</f>
        <v>6971.32020625</v>
      </c>
      <c r="P247" s="10" t="n">
        <f aca="false">IF($C247=0,"N/A",$O247/$C247)</f>
        <v>0.00137984603008168</v>
      </c>
    </row>
    <row r="248" customFormat="false" ht="15" hidden="false" customHeight="false" outlineLevel="0" collapsed="false">
      <c r="A248" s="6" t="s">
        <v>106</v>
      </c>
      <c r="B248" s="33" t="n">
        <v>500</v>
      </c>
      <c r="C248" s="33" t="n">
        <v>37575</v>
      </c>
      <c r="D248" s="9" t="n">
        <f aca="false">IF($B248=0,"",$C248/$B248)</f>
        <v>75.15</v>
      </c>
      <c r="E248" s="33" t="n">
        <v>500</v>
      </c>
      <c r="F248" s="6" t="n">
        <v>37810</v>
      </c>
      <c r="G248" s="9" t="n">
        <f aca="false">IF($E248=0,"",$F248/$E248)</f>
        <v>75.62</v>
      </c>
      <c r="H248" s="9" t="n">
        <f aca="false">IF(OR($B248=0,$E248=0),"N/A",$G248-$D248)</f>
        <v>0.469999999999999</v>
      </c>
      <c r="I248" s="33" t="n">
        <f aca="false">$B248-$E248</f>
        <v>0</v>
      </c>
      <c r="J248" s="9" t="n">
        <f aca="false">$F248-$C248</f>
        <v>235</v>
      </c>
      <c r="K248" s="6" t="str">
        <f aca="false">IF($E248=0,"—",IF($G248&gt;=Comm_Slab2_Start,"0.0325% of sell value","0.0175 paisa per share"))</f>
        <v>0.0325% of sell value</v>
      </c>
      <c r="L248" s="9" t="n">
        <f aca="false">IF($E248=0,0,IF($G248&gt;=Comm_Slab2_Start,$F248*Comm_Slab2_Rate,$E248*Comm_Slab1_Paisa/Paisa_Per_PKR))</f>
        <v>12.28825</v>
      </c>
      <c r="M248" s="9" t="n">
        <f aca="false">$L248*SST_Rate</f>
        <v>1.5974725</v>
      </c>
      <c r="N248" s="9" t="n">
        <f aca="false">$L248+$M248</f>
        <v>13.8857225</v>
      </c>
      <c r="O248" s="9" t="n">
        <f aca="false">$J248-$N248</f>
        <v>221.1142775</v>
      </c>
      <c r="P248" s="10" t="n">
        <f aca="false">IF($C248=0,"N/A",$O248/$C248)</f>
        <v>0.00588461151031271</v>
      </c>
    </row>
    <row r="249" customFormat="false" ht="15" hidden="false" customHeight="false" outlineLevel="0" collapsed="false">
      <c r="A249" s="29" t="s">
        <v>42</v>
      </c>
      <c r="B249" s="50" t="n">
        <f aca="false">SUM(B239:B248)</f>
        <v>85000</v>
      </c>
      <c r="C249" s="50" t="n">
        <f aca="false">SUM(C239:C248)</f>
        <v>15859132.11</v>
      </c>
      <c r="D249" s="51" t="n">
        <f aca="false">IF($B249=0,"",$C249/$B249)</f>
        <v>186.578024823529</v>
      </c>
      <c r="E249" s="50" t="n">
        <f aca="false">SUM(E239:E248)</f>
        <v>85000</v>
      </c>
      <c r="F249" s="29" t="n">
        <f aca="false">SUM(F239:F248)</f>
        <v>15867401.7</v>
      </c>
      <c r="G249" s="51" t="n">
        <f aca="false">IF($E249=0,"",$F249/$E249)</f>
        <v>186.675314117647</v>
      </c>
      <c r="H249" s="51" t="n">
        <f aca="false">IF(OR($B249=0,$E249=0),"N/A",$G249-$D249)</f>
        <v>0.097289294117644</v>
      </c>
      <c r="I249" s="50" t="n">
        <f aca="false">$B249-$E249</f>
        <v>0</v>
      </c>
      <c r="J249" s="51" t="n">
        <f aca="false">SUM(J239:J248)</f>
        <v>8269.59000000008</v>
      </c>
      <c r="K249" s="29"/>
      <c r="L249" s="51" t="n">
        <f aca="false">SUM(L239:L248)</f>
        <v>5156.9055525</v>
      </c>
      <c r="M249" s="51" t="n">
        <f aca="false">SUM(M239:M248)</f>
        <v>670.397721825</v>
      </c>
      <c r="N249" s="51" t="n">
        <f aca="false">$L249+$M249</f>
        <v>5827.303274325</v>
      </c>
      <c r="O249" s="51" t="n">
        <f aca="false">SUM(O239:O248)</f>
        <v>2442.28672567508</v>
      </c>
      <c r="P249" s="52" t="n">
        <f aca="false">IF($C249=0,"N/A",$O249/$C249)</f>
        <v>0.000153998762904251</v>
      </c>
    </row>
    <row r="252" customFormat="false" ht="19.7" hidden="false" customHeight="false" outlineLevel="0" collapsed="false">
      <c r="A252" s="1" t="s">
        <v>171</v>
      </c>
    </row>
    <row r="253" customFormat="false" ht="15" hidden="false" customHeight="false" outlineLevel="0" collapsed="false">
      <c r="A253" s="2" t="s">
        <v>132</v>
      </c>
      <c r="D253" s="31" t="s">
        <v>133</v>
      </c>
    </row>
    <row r="254" customFormat="false" ht="15" hidden="false" customHeight="false" outlineLevel="0" collapsed="false">
      <c r="A254" s="3" t="s">
        <v>134</v>
      </c>
      <c r="B254" s="27" t="n">
        <v>46269</v>
      </c>
      <c r="D254" s="3" t="s">
        <v>135</v>
      </c>
      <c r="E254" s="47" t="n">
        <f aca="false">C272</f>
        <v>22870426.57</v>
      </c>
    </row>
    <row r="255" customFormat="false" ht="15" hidden="false" customHeight="false" outlineLevel="0" collapsed="false">
      <c r="A255" s="3" t="s">
        <v>136</v>
      </c>
      <c r="B255" s="28" t="s">
        <v>137</v>
      </c>
      <c r="D255" s="3" t="s">
        <v>138</v>
      </c>
      <c r="E255" s="47" t="n">
        <f aca="false">F272</f>
        <v>22877215</v>
      </c>
    </row>
    <row r="256" customFormat="false" ht="15" hidden="false" customHeight="false" outlineLevel="0" collapsed="false">
      <c r="A256" s="3" t="s">
        <v>139</v>
      </c>
      <c r="B256" s="28" t="s">
        <v>151</v>
      </c>
      <c r="D256" s="3" t="s">
        <v>11</v>
      </c>
      <c r="E256" s="47" t="n">
        <f aca="false">J272</f>
        <v>6788.43000000005</v>
      </c>
    </row>
    <row r="257" customFormat="false" ht="15" hidden="false" customHeight="false" outlineLevel="0" collapsed="false">
      <c r="A257" s="3" t="s">
        <v>141</v>
      </c>
      <c r="B257" s="28" t="s">
        <v>142</v>
      </c>
      <c r="D257" s="3" t="s">
        <v>13</v>
      </c>
      <c r="E257" s="47" t="n">
        <f aca="false">L272</f>
        <v>7435.094875</v>
      </c>
    </row>
    <row r="258" customFormat="false" ht="15" hidden="false" customHeight="false" outlineLevel="0" collapsed="false">
      <c r="A258" s="3" t="s">
        <v>143</v>
      </c>
      <c r="B258" s="28" t="s">
        <v>144</v>
      </c>
      <c r="D258" s="3" t="s">
        <v>15</v>
      </c>
      <c r="E258" s="47" t="n">
        <f aca="false">M272</f>
        <v>966.56233375</v>
      </c>
    </row>
    <row r="259" customFormat="false" ht="15" hidden="false" customHeight="false" outlineLevel="0" collapsed="false">
      <c r="A259" s="3" t="s">
        <v>145</v>
      </c>
      <c r="B259" s="28" t="s">
        <v>172</v>
      </c>
      <c r="D259" s="3" t="s">
        <v>147</v>
      </c>
      <c r="E259" s="47" t="n">
        <f aca="false">N272</f>
        <v>8401.65720875</v>
      </c>
    </row>
    <row r="260" customFormat="false" ht="15" hidden="false" customHeight="false" outlineLevel="0" collapsed="false">
      <c r="D260" s="3" t="s">
        <v>16</v>
      </c>
      <c r="E260" s="47" t="n">
        <f aca="false">O272</f>
        <v>-1613.22720874995</v>
      </c>
    </row>
    <row r="261" customFormat="false" ht="15" hidden="false" customHeight="false" outlineLevel="0" collapsed="false">
      <c r="D261" s="3" t="s">
        <v>8</v>
      </c>
      <c r="E261" s="48" t="n">
        <f aca="false">P272</f>
        <v>-7.05376965231632E-005</v>
      </c>
    </row>
    <row r="262" customFormat="false" ht="15" hidden="false" customHeight="false" outlineLevel="0" collapsed="false">
      <c r="D262" s="3" t="s">
        <v>148</v>
      </c>
      <c r="E262" s="49" t="n">
        <f aca="false">I272</f>
        <v>0</v>
      </c>
    </row>
    <row r="263" customFormat="false" ht="15" hidden="false" customHeight="false" outlineLevel="0" collapsed="false">
      <c r="A263" s="31" t="s">
        <v>149</v>
      </c>
    </row>
    <row r="264" customFormat="false" ht="30" hidden="false" customHeight="true" outlineLevel="0" collapsed="false">
      <c r="A264" s="18" t="s">
        <v>71</v>
      </c>
      <c r="B264" s="18" t="s">
        <v>33</v>
      </c>
      <c r="C264" s="18" t="s">
        <v>36</v>
      </c>
      <c r="D264" s="18" t="s">
        <v>60</v>
      </c>
      <c r="E264" s="18" t="s">
        <v>34</v>
      </c>
      <c r="F264" s="18" t="s">
        <v>37</v>
      </c>
      <c r="G264" s="18" t="s">
        <v>61</v>
      </c>
      <c r="H264" s="18" t="s">
        <v>62</v>
      </c>
      <c r="I264" s="18" t="s">
        <v>35</v>
      </c>
      <c r="J264" s="18" t="s">
        <v>38</v>
      </c>
      <c r="K264" s="18" t="s">
        <v>63</v>
      </c>
      <c r="L264" s="18" t="s">
        <v>39</v>
      </c>
      <c r="M264" s="18" t="s">
        <v>64</v>
      </c>
      <c r="N264" s="18" t="s">
        <v>41</v>
      </c>
      <c r="O264" s="18" t="s">
        <v>7</v>
      </c>
      <c r="P264" s="18" t="s">
        <v>8</v>
      </c>
    </row>
    <row r="265" customFormat="false" ht="15" hidden="false" customHeight="false" outlineLevel="0" collapsed="false">
      <c r="A265" s="6" t="s">
        <v>121</v>
      </c>
      <c r="B265" s="33" t="n">
        <v>200</v>
      </c>
      <c r="C265" s="33" t="n">
        <v>102410</v>
      </c>
      <c r="D265" s="9" t="n">
        <f aca="false">IF($B265=0,"",$C265/$B265)</f>
        <v>512.05</v>
      </c>
      <c r="E265" s="33" t="n">
        <v>200</v>
      </c>
      <c r="F265" s="6" t="n">
        <v>102570</v>
      </c>
      <c r="G265" s="9" t="n">
        <f aca="false">IF($E265=0,"",$F265/$E265)</f>
        <v>512.85</v>
      </c>
      <c r="H265" s="9" t="n">
        <f aca="false">IF(OR($B265=0,$E265=0),"N/A",$G265-$D265)</f>
        <v>0.800000000000068</v>
      </c>
      <c r="I265" s="33" t="n">
        <f aca="false">$B265-$E265</f>
        <v>0</v>
      </c>
      <c r="J265" s="9" t="n">
        <f aca="false">$F265-$C265</f>
        <v>160</v>
      </c>
      <c r="K265" s="6" t="str">
        <f aca="false">IF($E265=0,"—",IF($G265&gt;=Comm_Slab2_Start,"0.0325% of sell value","0.0175 paisa per share"))</f>
        <v>0.0325% of sell value</v>
      </c>
      <c r="L265" s="9" t="n">
        <f aca="false">IF($E265=0,0,IF($G265&gt;=Comm_Slab2_Start,$F265*Comm_Slab2_Rate,$E265*Comm_Slab1_Paisa/Paisa_Per_PKR))</f>
        <v>33.33525</v>
      </c>
      <c r="M265" s="9" t="n">
        <f aca="false">$L265*SST_Rate</f>
        <v>4.3335825</v>
      </c>
      <c r="N265" s="9" t="n">
        <f aca="false">$L265+$M265</f>
        <v>37.6688325</v>
      </c>
      <c r="O265" s="9" t="n">
        <f aca="false">$J265-$N265</f>
        <v>122.3311675</v>
      </c>
      <c r="P265" s="10" t="n">
        <f aca="false">IF($C265=0,"N/A",$O265/$C265)</f>
        <v>0.00119452365491651</v>
      </c>
    </row>
    <row r="266" customFormat="false" ht="15" hidden="false" customHeight="false" outlineLevel="0" collapsed="false">
      <c r="A266" s="6" t="s">
        <v>78</v>
      </c>
      <c r="B266" s="33" t="n">
        <v>3000</v>
      </c>
      <c r="C266" s="33" t="n">
        <v>1516210</v>
      </c>
      <c r="D266" s="9" t="n">
        <f aca="false">IF($B266=0,"",$C266/$B266)</f>
        <v>505.403333333333</v>
      </c>
      <c r="E266" s="33" t="n">
        <v>3000</v>
      </c>
      <c r="F266" s="6" t="n">
        <v>1519165</v>
      </c>
      <c r="G266" s="9" t="n">
        <f aca="false">IF($E266=0,"",$F266/$E266)</f>
        <v>506.388333333333</v>
      </c>
      <c r="H266" s="9" t="n">
        <f aca="false">IF(OR($B266=0,$E266=0),"N/A",$G266-$D266)</f>
        <v>0.985000000000014</v>
      </c>
      <c r="I266" s="33" t="n">
        <f aca="false">$B266-$E266</f>
        <v>0</v>
      </c>
      <c r="J266" s="9" t="n">
        <f aca="false">$F266-$C266</f>
        <v>2955</v>
      </c>
      <c r="K266" s="6" t="str">
        <f aca="false">IF($E266=0,"—",IF($G266&gt;=Comm_Slab2_Start,"0.0325% of sell value","0.0175 paisa per share"))</f>
        <v>0.0325% of sell value</v>
      </c>
      <c r="L266" s="9" t="n">
        <f aca="false">IF($E266=0,0,IF($G266&gt;=Comm_Slab2_Start,$F266*Comm_Slab2_Rate,$E266*Comm_Slab1_Paisa/Paisa_Per_PKR))</f>
        <v>493.728625</v>
      </c>
      <c r="M266" s="9" t="n">
        <f aca="false">$L266*SST_Rate</f>
        <v>64.18472125</v>
      </c>
      <c r="N266" s="9" t="n">
        <f aca="false">$L266+$M266</f>
        <v>557.91334625</v>
      </c>
      <c r="O266" s="9" t="n">
        <f aca="false">$J266-$N266</f>
        <v>2397.08665375</v>
      </c>
      <c r="P266" s="10" t="n">
        <f aca="false">IF($C266=0,"N/A",$O266/$C266)</f>
        <v>0.00158097272393006</v>
      </c>
    </row>
    <row r="267" customFormat="false" ht="15" hidden="false" customHeight="false" outlineLevel="0" collapsed="false">
      <c r="A267" s="6" t="s">
        <v>125</v>
      </c>
      <c r="B267" s="33" t="n">
        <v>29000</v>
      </c>
      <c r="C267" s="33" t="n">
        <v>9665615</v>
      </c>
      <c r="D267" s="9" t="n">
        <f aca="false">IF($B267=0,"",$C267/$B267)</f>
        <v>333.297068965517</v>
      </c>
      <c r="E267" s="33" t="n">
        <v>29000</v>
      </c>
      <c r="F267" s="6" t="n">
        <v>9666085</v>
      </c>
      <c r="G267" s="9" t="n">
        <f aca="false">IF($E267=0,"",$F267/$E267)</f>
        <v>333.313275862069</v>
      </c>
      <c r="H267" s="9" t="n">
        <f aca="false">IF(OR($B267=0,$E267=0),"N/A",$G267-$D267)</f>
        <v>0.0162068965516937</v>
      </c>
      <c r="I267" s="33" t="n">
        <f aca="false">$B267-$E267</f>
        <v>0</v>
      </c>
      <c r="J267" s="9" t="n">
        <f aca="false">$F267-$C267</f>
        <v>470</v>
      </c>
      <c r="K267" s="6" t="str">
        <f aca="false">IF($E267=0,"—",IF($G267&gt;=Comm_Slab2_Start,"0.0325% of sell value","0.0175 paisa per share"))</f>
        <v>0.0325% of sell value</v>
      </c>
      <c r="L267" s="9" t="n">
        <f aca="false">IF($E267=0,0,IF($G267&gt;=Comm_Slab2_Start,$F267*Comm_Slab2_Rate,$E267*Comm_Slab1_Paisa/Paisa_Per_PKR))</f>
        <v>3141.477625</v>
      </c>
      <c r="M267" s="9" t="n">
        <f aca="false">$L267*SST_Rate</f>
        <v>408.39209125</v>
      </c>
      <c r="N267" s="9" t="n">
        <f aca="false">$L267+$M267</f>
        <v>3549.86971625</v>
      </c>
      <c r="O267" s="9" t="n">
        <f aca="false">$J267-$N267</f>
        <v>-3079.86971625</v>
      </c>
      <c r="P267" s="10" t="n">
        <f aca="false">IF($C267=0,"N/A",$O267/$C267)</f>
        <v>-0.000318641878064665</v>
      </c>
    </row>
    <row r="268" customFormat="false" ht="15" hidden="false" customHeight="false" outlineLevel="0" collapsed="false">
      <c r="A268" s="6" t="s">
        <v>115</v>
      </c>
      <c r="B268" s="33" t="n">
        <v>7500</v>
      </c>
      <c r="C268" s="33" t="n">
        <v>1683500</v>
      </c>
      <c r="D268" s="9" t="n">
        <f aca="false">IF($B268=0,"",$C268/$B268)</f>
        <v>224.466666666667</v>
      </c>
      <c r="E268" s="33" t="n">
        <v>7500</v>
      </c>
      <c r="F268" s="6" t="n">
        <v>1684725</v>
      </c>
      <c r="G268" s="9" t="n">
        <f aca="false">IF($E268=0,"",$F268/$E268)</f>
        <v>224.63</v>
      </c>
      <c r="H268" s="9" t="n">
        <f aca="false">IF(OR($B268=0,$E268=0),"N/A",$G268-$D268)</f>
        <v>0.163333333333327</v>
      </c>
      <c r="I268" s="33" t="n">
        <f aca="false">$B268-$E268</f>
        <v>0</v>
      </c>
      <c r="J268" s="9" t="n">
        <f aca="false">$F268-$C268</f>
        <v>1225</v>
      </c>
      <c r="K268" s="6" t="str">
        <f aca="false">IF($E268=0,"—",IF($G268&gt;=Comm_Slab2_Start,"0.0325% of sell value","0.0175 paisa per share"))</f>
        <v>0.0325% of sell value</v>
      </c>
      <c r="L268" s="9" t="n">
        <f aca="false">IF($E268=0,0,IF($G268&gt;=Comm_Slab2_Start,$F268*Comm_Slab2_Rate,$E268*Comm_Slab1_Paisa/Paisa_Per_PKR))</f>
        <v>547.535625</v>
      </c>
      <c r="M268" s="9" t="n">
        <f aca="false">$L268*SST_Rate</f>
        <v>71.17963125</v>
      </c>
      <c r="N268" s="9" t="n">
        <f aca="false">$L268+$M268</f>
        <v>618.71525625</v>
      </c>
      <c r="O268" s="9" t="n">
        <f aca="false">$J268-$N268</f>
        <v>606.28474375</v>
      </c>
      <c r="P268" s="10" t="n">
        <f aca="false">IF($C268=0,"N/A",$O268/$C268)</f>
        <v>0.000360133497920998</v>
      </c>
    </row>
    <row r="269" customFormat="false" ht="15" hidden="false" customHeight="false" outlineLevel="0" collapsed="false">
      <c r="A269" s="6" t="s">
        <v>75</v>
      </c>
      <c r="B269" s="33" t="n">
        <v>10000</v>
      </c>
      <c r="C269" s="33" t="n">
        <v>1014606.57</v>
      </c>
      <c r="D269" s="9" t="n">
        <f aca="false">IF($B269=0,"",$C269/$B269)</f>
        <v>101.460657</v>
      </c>
      <c r="E269" s="33" t="n">
        <v>10000</v>
      </c>
      <c r="F269" s="6" t="n">
        <v>1017500</v>
      </c>
      <c r="G269" s="9" t="n">
        <f aca="false">IF($E269=0,"",$F269/$E269)</f>
        <v>101.75</v>
      </c>
      <c r="H269" s="9" t="n">
        <f aca="false">IF(OR($B269=0,$E269=0),"N/A",$G269-$D269)</f>
        <v>0.289343000000002</v>
      </c>
      <c r="I269" s="33" t="n">
        <f aca="false">$B269-$E269</f>
        <v>0</v>
      </c>
      <c r="J269" s="9" t="n">
        <f aca="false">$F269-$C269</f>
        <v>2893.43000000005</v>
      </c>
      <c r="K269" s="6" t="str">
        <f aca="false">IF($E269=0,"—",IF($G269&gt;=Comm_Slab2_Start,"0.0325% of sell value","0.0175 paisa per share"))</f>
        <v>0.0325% of sell value</v>
      </c>
      <c r="L269" s="9" t="n">
        <f aca="false">IF($E269=0,0,IF($G269&gt;=Comm_Slab2_Start,$F269*Comm_Slab2_Rate,$E269*Comm_Slab1_Paisa/Paisa_Per_PKR))</f>
        <v>330.6875</v>
      </c>
      <c r="M269" s="9" t="n">
        <f aca="false">$L269*SST_Rate</f>
        <v>42.989375</v>
      </c>
      <c r="N269" s="9" t="n">
        <f aca="false">$L269+$M269</f>
        <v>373.676875</v>
      </c>
      <c r="O269" s="9" t="n">
        <f aca="false">$J269-$N269</f>
        <v>2519.75312500005</v>
      </c>
      <c r="P269" s="10" t="n">
        <f aca="false">IF($C269=0,"N/A",$O269/$C269)</f>
        <v>0.00248347802932131</v>
      </c>
    </row>
    <row r="270" customFormat="false" ht="15" hidden="false" customHeight="false" outlineLevel="0" collapsed="false">
      <c r="A270" s="6" t="s">
        <v>74</v>
      </c>
      <c r="B270" s="33" t="n">
        <v>84500</v>
      </c>
      <c r="C270" s="33" t="n">
        <v>8495135</v>
      </c>
      <c r="D270" s="9" t="n">
        <f aca="false">IF($B270=0,"",$C270/$B270)</f>
        <v>100.534142011834</v>
      </c>
      <c r="E270" s="33" t="n">
        <v>84500</v>
      </c>
      <c r="F270" s="6" t="n">
        <v>8494670</v>
      </c>
      <c r="G270" s="9" t="n">
        <f aca="false">IF($E270=0,"",$F270/$E270)</f>
        <v>100.528639053254</v>
      </c>
      <c r="H270" s="9" t="n">
        <f aca="false">IF(OR($B270=0,$E270=0),"N/A",$G270-$D270)</f>
        <v>-0.00550295857988203</v>
      </c>
      <c r="I270" s="33" t="n">
        <f aca="false">$B270-$E270</f>
        <v>0</v>
      </c>
      <c r="J270" s="9" t="n">
        <f aca="false">$F270-$C270</f>
        <v>-465</v>
      </c>
      <c r="K270" s="6" t="str">
        <f aca="false">IF($E270=0,"—",IF($G270&gt;=Comm_Slab2_Start,"0.0325% of sell value","0.0175 paisa per share"))</f>
        <v>0.0325% of sell value</v>
      </c>
      <c r="L270" s="9" t="n">
        <f aca="false">IF($E270=0,0,IF($G270&gt;=Comm_Slab2_Start,$F270*Comm_Slab2_Rate,$E270*Comm_Slab1_Paisa/Paisa_Per_PKR))</f>
        <v>2760.76775</v>
      </c>
      <c r="M270" s="9" t="n">
        <f aca="false">$L270*SST_Rate</f>
        <v>358.8998075</v>
      </c>
      <c r="N270" s="9" t="n">
        <f aca="false">$L270+$M270</f>
        <v>3119.6675575</v>
      </c>
      <c r="O270" s="9" t="n">
        <f aca="false">$J270-$N270</f>
        <v>-3584.6675575</v>
      </c>
      <c r="P270" s="10" t="n">
        <f aca="false">IF($C270=0,"N/A",$O270/$C270)</f>
        <v>-0.000421967109115982</v>
      </c>
    </row>
    <row r="271" customFormat="false" ht="15" hidden="false" customHeight="false" outlineLevel="0" collapsed="false">
      <c r="A271" s="6" t="s">
        <v>113</v>
      </c>
      <c r="B271" s="33" t="n">
        <v>5000</v>
      </c>
      <c r="C271" s="33" t="n">
        <v>392950</v>
      </c>
      <c r="D271" s="9" t="n">
        <f aca="false">IF($B271=0,"",$C271/$B271)</f>
        <v>78.59</v>
      </c>
      <c r="E271" s="33" t="n">
        <v>5000</v>
      </c>
      <c r="F271" s="6" t="n">
        <v>392500</v>
      </c>
      <c r="G271" s="9" t="n">
        <f aca="false">IF($E271=0,"",$F271/$E271)</f>
        <v>78.5</v>
      </c>
      <c r="H271" s="9" t="n">
        <f aca="false">IF(OR($B271=0,$E271=0),"N/A",$G271-$D271)</f>
        <v>-0.0900000000000034</v>
      </c>
      <c r="I271" s="33" t="n">
        <f aca="false">$B271-$E271</f>
        <v>0</v>
      </c>
      <c r="J271" s="9" t="n">
        <f aca="false">$F271-$C271</f>
        <v>-450</v>
      </c>
      <c r="K271" s="6" t="str">
        <f aca="false">IF($E271=0,"—",IF($G271&gt;=Comm_Slab2_Start,"0.0325% of sell value","0.0175 paisa per share"))</f>
        <v>0.0325% of sell value</v>
      </c>
      <c r="L271" s="9" t="n">
        <f aca="false">IF($E271=0,0,IF($G271&gt;=Comm_Slab2_Start,$F271*Comm_Slab2_Rate,$E271*Comm_Slab1_Paisa/Paisa_Per_PKR))</f>
        <v>127.5625</v>
      </c>
      <c r="M271" s="9" t="n">
        <f aca="false">$L271*SST_Rate</f>
        <v>16.583125</v>
      </c>
      <c r="N271" s="9" t="n">
        <f aca="false">$L271+$M271</f>
        <v>144.145625</v>
      </c>
      <c r="O271" s="9" t="n">
        <f aca="false">$J271-$N271</f>
        <v>-594.145625</v>
      </c>
      <c r="P271" s="10" t="n">
        <f aca="false">IF($C271=0,"N/A",$O271/$C271)</f>
        <v>-0.00151201329685711</v>
      </c>
    </row>
    <row r="272" customFormat="false" ht="15" hidden="false" customHeight="false" outlineLevel="0" collapsed="false">
      <c r="A272" s="29" t="s">
        <v>42</v>
      </c>
      <c r="B272" s="50" t="n">
        <f aca="false">SUM(B265:B271)</f>
        <v>139200</v>
      </c>
      <c r="C272" s="50" t="n">
        <f aca="false">SUM(C265:C271)</f>
        <v>22870426.57</v>
      </c>
      <c r="D272" s="51" t="n">
        <f aca="false">IF($B272=0,"",$C272/$B272)</f>
        <v>164.299041451149</v>
      </c>
      <c r="E272" s="50" t="n">
        <f aca="false">SUM(E265:E271)</f>
        <v>139200</v>
      </c>
      <c r="F272" s="29" t="n">
        <f aca="false">SUM(F265:F271)</f>
        <v>22877215</v>
      </c>
      <c r="G272" s="51" t="n">
        <f aca="false">IF($E272=0,"",$F272/$E272)</f>
        <v>164.347808908046</v>
      </c>
      <c r="H272" s="51" t="n">
        <f aca="false">IF(OR($B272=0,$E272=0),"N/A",$G272-$D272)</f>
        <v>0.0487674568965417</v>
      </c>
      <c r="I272" s="50" t="n">
        <f aca="false">$B272-$E272</f>
        <v>0</v>
      </c>
      <c r="J272" s="51" t="n">
        <f aca="false">SUM(J265:J271)</f>
        <v>6788.43000000005</v>
      </c>
      <c r="K272" s="29"/>
      <c r="L272" s="51" t="n">
        <f aca="false">SUM(L265:L271)</f>
        <v>7435.094875</v>
      </c>
      <c r="M272" s="51" t="n">
        <f aca="false">SUM(M265:M271)</f>
        <v>966.56233375</v>
      </c>
      <c r="N272" s="51" t="n">
        <f aca="false">$L272+$M272</f>
        <v>8401.65720875</v>
      </c>
      <c r="O272" s="51" t="n">
        <f aca="false">SUM(O265:O271)</f>
        <v>-1613.22720874995</v>
      </c>
      <c r="P272" s="52" t="n">
        <f aca="false">IF($C272=0,"N/A",$O272/$C272)</f>
        <v>-7.05376965231632E-005</v>
      </c>
    </row>
    <row r="275" customFormat="false" ht="19.7" hidden="false" customHeight="false" outlineLevel="0" collapsed="false">
      <c r="A275" s="1" t="s">
        <v>173</v>
      </c>
    </row>
    <row r="276" customFormat="false" ht="15" hidden="false" customHeight="false" outlineLevel="0" collapsed="false">
      <c r="A276" s="2" t="s">
        <v>132</v>
      </c>
      <c r="D276" s="31" t="s">
        <v>133</v>
      </c>
    </row>
    <row r="277" customFormat="false" ht="15" hidden="false" customHeight="false" outlineLevel="0" collapsed="false">
      <c r="A277" s="3" t="s">
        <v>134</v>
      </c>
      <c r="B277" s="27" t="n">
        <v>46272</v>
      </c>
      <c r="D277" s="3" t="s">
        <v>135</v>
      </c>
      <c r="E277" s="47" t="n">
        <f aca="false">C292</f>
        <v>3194849.52</v>
      </c>
    </row>
    <row r="278" customFormat="false" ht="15" hidden="false" customHeight="false" outlineLevel="0" collapsed="false">
      <c r="A278" s="3" t="s">
        <v>136</v>
      </c>
      <c r="B278" s="28" t="s">
        <v>137</v>
      </c>
      <c r="D278" s="3" t="s">
        <v>138</v>
      </c>
      <c r="E278" s="47" t="n">
        <f aca="false">F292</f>
        <v>3205253.49</v>
      </c>
    </row>
    <row r="279" customFormat="false" ht="15" hidden="false" customHeight="false" outlineLevel="0" collapsed="false">
      <c r="A279" s="3" t="s">
        <v>139</v>
      </c>
      <c r="B279" s="28" t="s">
        <v>151</v>
      </c>
      <c r="D279" s="3" t="s">
        <v>11</v>
      </c>
      <c r="E279" s="47" t="n">
        <f aca="false">J292</f>
        <v>10403.97</v>
      </c>
    </row>
    <row r="280" customFormat="false" ht="15" hidden="false" customHeight="false" outlineLevel="0" collapsed="false">
      <c r="A280" s="3" t="s">
        <v>141</v>
      </c>
      <c r="B280" s="28" t="s">
        <v>142</v>
      </c>
      <c r="D280" s="3" t="s">
        <v>13</v>
      </c>
      <c r="E280" s="47" t="n">
        <f aca="false">L292</f>
        <v>1041.70738425</v>
      </c>
    </row>
    <row r="281" customFormat="false" ht="15" hidden="false" customHeight="false" outlineLevel="0" collapsed="false">
      <c r="A281" s="3" t="s">
        <v>143</v>
      </c>
      <c r="B281" s="28" t="s">
        <v>144</v>
      </c>
      <c r="D281" s="3" t="s">
        <v>15</v>
      </c>
      <c r="E281" s="47" t="n">
        <f aca="false">M292</f>
        <v>135.4219599525</v>
      </c>
    </row>
    <row r="282" customFormat="false" ht="15" hidden="false" customHeight="false" outlineLevel="0" collapsed="false">
      <c r="A282" s="3" t="s">
        <v>145</v>
      </c>
      <c r="B282" s="28" t="s">
        <v>174</v>
      </c>
      <c r="D282" s="3" t="s">
        <v>147</v>
      </c>
      <c r="E282" s="47" t="n">
        <f aca="false">N292</f>
        <v>1177.1293442025</v>
      </c>
    </row>
    <row r="283" customFormat="false" ht="15" hidden="false" customHeight="false" outlineLevel="0" collapsed="false">
      <c r="D283" s="3" t="s">
        <v>16</v>
      </c>
      <c r="E283" s="47" t="n">
        <f aca="false">O292</f>
        <v>9226.84065579747</v>
      </c>
    </row>
    <row r="284" customFormat="false" ht="15" hidden="false" customHeight="false" outlineLevel="0" collapsed="false">
      <c r="D284" s="3" t="s">
        <v>8</v>
      </c>
      <c r="E284" s="48" t="n">
        <f aca="false">P292</f>
        <v>0.0028880360711942</v>
      </c>
    </row>
    <row r="285" customFormat="false" ht="15" hidden="false" customHeight="false" outlineLevel="0" collapsed="false">
      <c r="D285" s="3" t="s">
        <v>148</v>
      </c>
      <c r="E285" s="49" t="n">
        <f aca="false">I292</f>
        <v>0</v>
      </c>
    </row>
    <row r="286" customFormat="false" ht="15" hidden="false" customHeight="false" outlineLevel="0" collapsed="false">
      <c r="A286" s="31" t="s">
        <v>149</v>
      </c>
    </row>
    <row r="287" customFormat="false" ht="30" hidden="false" customHeight="true" outlineLevel="0" collapsed="false">
      <c r="A287" s="18" t="s">
        <v>71</v>
      </c>
      <c r="B287" s="18" t="s">
        <v>33</v>
      </c>
      <c r="C287" s="18" t="s">
        <v>36</v>
      </c>
      <c r="D287" s="18" t="s">
        <v>60</v>
      </c>
      <c r="E287" s="18" t="s">
        <v>34</v>
      </c>
      <c r="F287" s="18" t="s">
        <v>37</v>
      </c>
      <c r="G287" s="18" t="s">
        <v>61</v>
      </c>
      <c r="H287" s="18" t="s">
        <v>62</v>
      </c>
      <c r="I287" s="18" t="s">
        <v>35</v>
      </c>
      <c r="J287" s="18" t="s">
        <v>38</v>
      </c>
      <c r="K287" s="18" t="s">
        <v>63</v>
      </c>
      <c r="L287" s="18" t="s">
        <v>39</v>
      </c>
      <c r="M287" s="18" t="s">
        <v>64</v>
      </c>
      <c r="N287" s="18" t="s">
        <v>41</v>
      </c>
      <c r="O287" s="18" t="s">
        <v>7</v>
      </c>
      <c r="P287" s="18" t="s">
        <v>8</v>
      </c>
    </row>
    <row r="288" customFormat="false" ht="15" hidden="false" customHeight="false" outlineLevel="0" collapsed="false">
      <c r="A288" s="6" t="s">
        <v>103</v>
      </c>
      <c r="B288" s="33" t="n">
        <v>15000</v>
      </c>
      <c r="C288" s="33" t="n">
        <v>1516800</v>
      </c>
      <c r="D288" s="9" t="n">
        <f aca="false">IF($B288=0,"",$C288/$B288)</f>
        <v>101.12</v>
      </c>
      <c r="E288" s="33" t="n">
        <v>15000</v>
      </c>
      <c r="F288" s="6" t="n">
        <v>1523500</v>
      </c>
      <c r="G288" s="9" t="n">
        <f aca="false">IF($E288=0,"",$F288/$E288)</f>
        <v>101.566666666667</v>
      </c>
      <c r="H288" s="9" t="n">
        <f aca="false">IF(OR($B288=0,$E288=0),"N/A",$G288-$D288)</f>
        <v>0.446666666666658</v>
      </c>
      <c r="I288" s="33" t="n">
        <f aca="false">$B288-$E288</f>
        <v>0</v>
      </c>
      <c r="J288" s="9" t="n">
        <f aca="false">$F288-$C288</f>
        <v>6700</v>
      </c>
      <c r="K288" s="6" t="str">
        <f aca="false">IF($E288=0,"—",IF($G288&gt;=Comm_Slab2_Start,"0.0325% of sell value","0.0175 paisa per share"))</f>
        <v>0.0325% of sell value</v>
      </c>
      <c r="L288" s="9" t="n">
        <f aca="false">IF($E288=0,0,IF($G288&gt;=Comm_Slab2_Start,$F288*Comm_Slab2_Rate,$E288*Comm_Slab1_Paisa/Paisa_Per_PKR))</f>
        <v>495.1375</v>
      </c>
      <c r="M288" s="9" t="n">
        <f aca="false">$L288*SST_Rate</f>
        <v>64.367875</v>
      </c>
      <c r="N288" s="9" t="n">
        <f aca="false">$L288+$M288</f>
        <v>559.505375</v>
      </c>
      <c r="O288" s="9" t="n">
        <f aca="false">$J288-$N288</f>
        <v>6140.494625</v>
      </c>
      <c r="P288" s="10" t="n">
        <f aca="false">IF($C288=0,"N/A",$O288/$C288)</f>
        <v>0.00404832187829641</v>
      </c>
    </row>
    <row r="289" customFormat="false" ht="15" hidden="false" customHeight="false" outlineLevel="0" collapsed="false">
      <c r="A289" s="6" t="s">
        <v>78</v>
      </c>
      <c r="B289" s="33" t="n">
        <v>2000</v>
      </c>
      <c r="C289" s="33" t="n">
        <v>996540</v>
      </c>
      <c r="D289" s="9" t="n">
        <f aca="false">IF($B289=0,"",$C289/$B289)</f>
        <v>498.27</v>
      </c>
      <c r="E289" s="33" t="n">
        <v>2000</v>
      </c>
      <c r="F289" s="6" t="n">
        <v>998990</v>
      </c>
      <c r="G289" s="9" t="n">
        <f aca="false">IF($E289=0,"",$F289/$E289)</f>
        <v>499.495</v>
      </c>
      <c r="H289" s="9" t="n">
        <f aca="false">IF(OR($B289=0,$E289=0),"N/A",$G289-$D289)</f>
        <v>1.22500000000002</v>
      </c>
      <c r="I289" s="33" t="n">
        <f aca="false">$B289-$E289</f>
        <v>0</v>
      </c>
      <c r="J289" s="9" t="n">
        <f aca="false">$F289-$C289</f>
        <v>2450</v>
      </c>
      <c r="K289" s="6" t="str">
        <f aca="false">IF($E289=0,"—",IF($G289&gt;=Comm_Slab2_Start,"0.0325% of sell value","0.0175 paisa per share"))</f>
        <v>0.0325% of sell value</v>
      </c>
      <c r="L289" s="9" t="n">
        <f aca="false">IF($E289=0,0,IF($G289&gt;=Comm_Slab2_Start,$F289*Comm_Slab2_Rate,$E289*Comm_Slab1_Paisa/Paisa_Per_PKR))</f>
        <v>324.67175</v>
      </c>
      <c r="M289" s="9" t="n">
        <f aca="false">$L289*SST_Rate</f>
        <v>42.2073275</v>
      </c>
      <c r="N289" s="9" t="n">
        <f aca="false">$L289+$M289</f>
        <v>366.8790775</v>
      </c>
      <c r="O289" s="9" t="n">
        <f aca="false">$J289-$N289</f>
        <v>2083.1209225</v>
      </c>
      <c r="P289" s="10" t="n">
        <f aca="false">IF($C289=0,"N/A",$O289/$C289)</f>
        <v>0.00209035354576836</v>
      </c>
    </row>
    <row r="290" customFormat="false" ht="15" hidden="false" customHeight="false" outlineLevel="0" collapsed="false">
      <c r="A290" s="6" t="s">
        <v>115</v>
      </c>
      <c r="B290" s="33" t="n">
        <v>1551</v>
      </c>
      <c r="C290" s="33" t="n">
        <v>354434.52</v>
      </c>
      <c r="D290" s="9" t="n">
        <f aca="false">IF($B290=0,"",$C290/$B290)</f>
        <v>228.52</v>
      </c>
      <c r="E290" s="33" t="n">
        <v>1551</v>
      </c>
      <c r="F290" s="6" t="n">
        <v>355163.49</v>
      </c>
      <c r="G290" s="9" t="n">
        <f aca="false">IF($E290=0,"",$F290/$E290)</f>
        <v>228.99</v>
      </c>
      <c r="H290" s="9" t="n">
        <f aca="false">IF(OR($B290=0,$E290=0),"N/A",$G290-$D290)</f>
        <v>0.46999999999997</v>
      </c>
      <c r="I290" s="33" t="n">
        <f aca="false">$B290-$E290</f>
        <v>0</v>
      </c>
      <c r="J290" s="9" t="n">
        <f aca="false">$F290-$C290</f>
        <v>728.969999999972</v>
      </c>
      <c r="K290" s="6" t="str">
        <f aca="false">IF($E290=0,"—",IF($G290&gt;=Comm_Slab2_Start,"0.0325% of sell value","0.0175 paisa per share"))</f>
        <v>0.0325% of sell value</v>
      </c>
      <c r="L290" s="9" t="n">
        <f aca="false">IF($E290=0,0,IF($G290&gt;=Comm_Slab2_Start,$F290*Comm_Slab2_Rate,$E290*Comm_Slab1_Paisa/Paisa_Per_PKR))</f>
        <v>115.42813425</v>
      </c>
      <c r="M290" s="9" t="n">
        <f aca="false">$L290*SST_Rate</f>
        <v>15.0056574525</v>
      </c>
      <c r="N290" s="9" t="n">
        <f aca="false">$L290+$M290</f>
        <v>130.4337917025</v>
      </c>
      <c r="O290" s="9" t="n">
        <f aca="false">$J290-$N290</f>
        <v>598.536208297472</v>
      </c>
      <c r="P290" s="10" t="n">
        <f aca="false">IF($C290=0,"N/A",$O290/$C290)</f>
        <v>0.00168870743260976</v>
      </c>
    </row>
    <row r="291" customFormat="false" ht="15" hidden="false" customHeight="false" outlineLevel="0" collapsed="false">
      <c r="A291" s="6" t="s">
        <v>74</v>
      </c>
      <c r="B291" s="33" t="n">
        <v>3500</v>
      </c>
      <c r="C291" s="33" t="n">
        <v>327075</v>
      </c>
      <c r="D291" s="9" t="n">
        <f aca="false">IF($B291=0,"",$C291/$B291)</f>
        <v>93.45</v>
      </c>
      <c r="E291" s="33" t="n">
        <v>3500</v>
      </c>
      <c r="F291" s="6" t="n">
        <v>327600</v>
      </c>
      <c r="G291" s="9" t="n">
        <f aca="false">IF($E291=0,"",$F291/$E291)</f>
        <v>93.6</v>
      </c>
      <c r="H291" s="9" t="n">
        <f aca="false">IF(OR($B291=0,$E291=0),"N/A",$G291-$D291)</f>
        <v>0.149999999999991</v>
      </c>
      <c r="I291" s="33" t="n">
        <f aca="false">$B291-$E291</f>
        <v>0</v>
      </c>
      <c r="J291" s="9" t="n">
        <f aca="false">$F291-$C291</f>
        <v>525</v>
      </c>
      <c r="K291" s="6" t="str">
        <f aca="false">IF($E291=0,"—",IF($G291&gt;=Comm_Slab2_Start,"0.0325% of sell value","0.0175 paisa per share"))</f>
        <v>0.0325% of sell value</v>
      </c>
      <c r="L291" s="9" t="n">
        <f aca="false">IF($E291=0,0,IF($G291&gt;=Comm_Slab2_Start,$F291*Comm_Slab2_Rate,$E291*Comm_Slab1_Paisa/Paisa_Per_PKR))</f>
        <v>106.47</v>
      </c>
      <c r="M291" s="9" t="n">
        <f aca="false">$L291*SST_Rate</f>
        <v>13.8411</v>
      </c>
      <c r="N291" s="9" t="n">
        <f aca="false">$L291+$M291</f>
        <v>120.3111</v>
      </c>
      <c r="O291" s="9" t="n">
        <f aca="false">$J291-$N291</f>
        <v>404.6889</v>
      </c>
      <c r="P291" s="10" t="n">
        <f aca="false">IF($C291=0,"N/A",$O291/$C291)</f>
        <v>0.00123729695024077</v>
      </c>
    </row>
    <row r="292" customFormat="false" ht="15" hidden="false" customHeight="false" outlineLevel="0" collapsed="false">
      <c r="A292" s="29" t="s">
        <v>42</v>
      </c>
      <c r="B292" s="50" t="n">
        <f aca="false">SUM(B288:B291)</f>
        <v>22051</v>
      </c>
      <c r="C292" s="50" t="n">
        <f aca="false">SUM(C288:C291)</f>
        <v>3194849.52</v>
      </c>
      <c r="D292" s="51" t="n">
        <f aca="false">IF($B292=0,"",$C292/$B292)</f>
        <v>144.884563965353</v>
      </c>
      <c r="E292" s="50" t="n">
        <f aca="false">SUM(E288:E291)</f>
        <v>22051</v>
      </c>
      <c r="F292" s="29" t="n">
        <f aca="false">SUM(F288:F291)</f>
        <v>3205253.49</v>
      </c>
      <c r="G292" s="51" t="n">
        <f aca="false">IF($E292=0,"",$F292/$E292)</f>
        <v>145.356377942043</v>
      </c>
      <c r="H292" s="51" t="n">
        <f aca="false">IF(OR($B292=0,$E292=0),"N/A",$G292-$D292)</f>
        <v>0.471813976690413</v>
      </c>
      <c r="I292" s="50" t="n">
        <f aca="false">$B292-$E292</f>
        <v>0</v>
      </c>
      <c r="J292" s="51" t="n">
        <f aca="false">SUM(J288:J291)</f>
        <v>10403.97</v>
      </c>
      <c r="K292" s="29"/>
      <c r="L292" s="51" t="n">
        <f aca="false">SUM(L288:L291)</f>
        <v>1041.70738425</v>
      </c>
      <c r="M292" s="51" t="n">
        <f aca="false">SUM(M288:M291)</f>
        <v>135.4219599525</v>
      </c>
      <c r="N292" s="51" t="n">
        <f aca="false">$L292+$M292</f>
        <v>1177.1293442025</v>
      </c>
      <c r="O292" s="51" t="n">
        <f aca="false">SUM(O288:O291)</f>
        <v>9226.84065579747</v>
      </c>
      <c r="P292" s="52" t="n">
        <f aca="false">IF($C292=0,"N/A",$O292/$C292)</f>
        <v>0.0028880360711942</v>
      </c>
    </row>
    <row r="295" customFormat="false" ht="19.7" hidden="false" customHeight="false" outlineLevel="0" collapsed="false">
      <c r="A295" s="1" t="s">
        <v>175</v>
      </c>
    </row>
    <row r="296" customFormat="false" ht="15" hidden="false" customHeight="false" outlineLevel="0" collapsed="false">
      <c r="A296" s="2" t="s">
        <v>132</v>
      </c>
      <c r="D296" s="31" t="s">
        <v>133</v>
      </c>
    </row>
    <row r="297" customFormat="false" ht="15" hidden="false" customHeight="false" outlineLevel="0" collapsed="false">
      <c r="A297" s="3" t="s">
        <v>134</v>
      </c>
      <c r="B297" s="27" t="n">
        <v>46273</v>
      </c>
      <c r="D297" s="3" t="s">
        <v>135</v>
      </c>
      <c r="E297" s="47" t="n">
        <f aca="false">C314</f>
        <v>11580825</v>
      </c>
    </row>
    <row r="298" customFormat="false" ht="15" hidden="false" customHeight="false" outlineLevel="0" collapsed="false">
      <c r="A298" s="3" t="s">
        <v>136</v>
      </c>
      <c r="B298" s="28" t="s">
        <v>137</v>
      </c>
      <c r="D298" s="3" t="s">
        <v>138</v>
      </c>
      <c r="E298" s="47" t="n">
        <f aca="false">F314</f>
        <v>11593195</v>
      </c>
    </row>
    <row r="299" customFormat="false" ht="15" hidden="false" customHeight="false" outlineLevel="0" collapsed="false">
      <c r="A299" s="3" t="s">
        <v>139</v>
      </c>
      <c r="B299" s="28" t="s">
        <v>140</v>
      </c>
      <c r="D299" s="3" t="s">
        <v>11</v>
      </c>
      <c r="E299" s="47" t="n">
        <f aca="false">J314</f>
        <v>12370</v>
      </c>
    </row>
    <row r="300" customFormat="false" ht="15" hidden="false" customHeight="false" outlineLevel="0" collapsed="false">
      <c r="A300" s="3" t="s">
        <v>141</v>
      </c>
      <c r="B300" s="28" t="s">
        <v>142</v>
      </c>
      <c r="D300" s="3" t="s">
        <v>13</v>
      </c>
      <c r="E300" s="47" t="n">
        <f aca="false">L314</f>
        <v>3716.460875</v>
      </c>
    </row>
    <row r="301" customFormat="false" ht="15" hidden="false" customHeight="false" outlineLevel="0" collapsed="false">
      <c r="A301" s="3" t="s">
        <v>143</v>
      </c>
      <c r="B301" s="28" t="s">
        <v>144</v>
      </c>
      <c r="D301" s="3" t="s">
        <v>15</v>
      </c>
      <c r="E301" s="47" t="n">
        <f aca="false">M314</f>
        <v>483.13991375</v>
      </c>
    </row>
    <row r="302" customFormat="false" ht="15" hidden="false" customHeight="false" outlineLevel="0" collapsed="false">
      <c r="A302" s="3" t="s">
        <v>145</v>
      </c>
      <c r="B302" s="28" t="s">
        <v>176</v>
      </c>
      <c r="D302" s="3" t="s">
        <v>147</v>
      </c>
      <c r="E302" s="47" t="n">
        <f aca="false">N314</f>
        <v>4199.60078875</v>
      </c>
    </row>
    <row r="303" customFormat="false" ht="15" hidden="false" customHeight="false" outlineLevel="0" collapsed="false">
      <c r="D303" s="3" t="s">
        <v>16</v>
      </c>
      <c r="E303" s="47" t="n">
        <f aca="false">O314</f>
        <v>8170.39921125</v>
      </c>
    </row>
    <row r="304" customFormat="false" ht="15" hidden="false" customHeight="false" outlineLevel="0" collapsed="false">
      <c r="D304" s="3" t="s">
        <v>8</v>
      </c>
      <c r="E304" s="48" t="n">
        <f aca="false">P314</f>
        <v>0.000705510981406765</v>
      </c>
    </row>
    <row r="305" customFormat="false" ht="15" hidden="false" customHeight="false" outlineLevel="0" collapsed="false">
      <c r="D305" s="3" t="s">
        <v>148</v>
      </c>
      <c r="E305" s="49" t="n">
        <f aca="false">I314</f>
        <v>0</v>
      </c>
    </row>
    <row r="306" customFormat="false" ht="15" hidden="false" customHeight="false" outlineLevel="0" collapsed="false">
      <c r="A306" s="31" t="s">
        <v>149</v>
      </c>
    </row>
    <row r="307" customFormat="false" ht="30" hidden="false" customHeight="true" outlineLevel="0" collapsed="false">
      <c r="A307" s="18" t="s">
        <v>71</v>
      </c>
      <c r="B307" s="18" t="s">
        <v>33</v>
      </c>
      <c r="C307" s="18" t="s">
        <v>36</v>
      </c>
      <c r="D307" s="18" t="s">
        <v>60</v>
      </c>
      <c r="E307" s="18" t="s">
        <v>34</v>
      </c>
      <c r="F307" s="18" t="s">
        <v>37</v>
      </c>
      <c r="G307" s="18" t="s">
        <v>61</v>
      </c>
      <c r="H307" s="18" t="s">
        <v>62</v>
      </c>
      <c r="I307" s="18" t="s">
        <v>35</v>
      </c>
      <c r="J307" s="18" t="s">
        <v>38</v>
      </c>
      <c r="K307" s="18" t="s">
        <v>63</v>
      </c>
      <c r="L307" s="18" t="s">
        <v>39</v>
      </c>
      <c r="M307" s="18" t="s">
        <v>64</v>
      </c>
      <c r="N307" s="18" t="s">
        <v>41</v>
      </c>
      <c r="O307" s="18" t="s">
        <v>7</v>
      </c>
      <c r="P307" s="18" t="s">
        <v>8</v>
      </c>
    </row>
    <row r="308" customFormat="false" ht="15" hidden="false" customHeight="false" outlineLevel="0" collapsed="false">
      <c r="A308" s="6" t="s">
        <v>85</v>
      </c>
      <c r="B308" s="33" t="n">
        <v>5000</v>
      </c>
      <c r="C308" s="33" t="n">
        <v>1002150</v>
      </c>
      <c r="D308" s="9" t="n">
        <f aca="false">IF($B308=0,"",$C308/$B308)</f>
        <v>200.43</v>
      </c>
      <c r="E308" s="33" t="n">
        <v>5000</v>
      </c>
      <c r="F308" s="6" t="n">
        <v>1005015</v>
      </c>
      <c r="G308" s="9" t="n">
        <f aca="false">IF($E308=0,"",$F308/$E308)</f>
        <v>201.003</v>
      </c>
      <c r="H308" s="9" t="n">
        <f aca="false">IF(OR($B308=0,$E308=0),"N/A",$G308-$D308)</f>
        <v>0.572999999999979</v>
      </c>
      <c r="I308" s="33" t="n">
        <f aca="false">$B308-$E308</f>
        <v>0</v>
      </c>
      <c r="J308" s="9" t="n">
        <f aca="false">$F308-$C308</f>
        <v>2865</v>
      </c>
      <c r="K308" s="6" t="str">
        <f aca="false">IF($E308=0,"—",IF($G308&gt;=Comm_Slab2_Start,"0.0325% of sell value","0.0175 paisa per share"))</f>
        <v>0.0325% of sell value</v>
      </c>
      <c r="L308" s="9" t="n">
        <f aca="false">IF($E308=0,0,IF($G308&gt;=Comm_Slab2_Start,$F308*Comm_Slab2_Rate,$E308*Comm_Slab1_Paisa/Paisa_Per_PKR))</f>
        <v>326.629875</v>
      </c>
      <c r="M308" s="9" t="n">
        <f aca="false">$L308*SST_Rate</f>
        <v>42.46188375</v>
      </c>
      <c r="N308" s="9" t="n">
        <f aca="false">$L308+$M308</f>
        <v>369.09175875</v>
      </c>
      <c r="O308" s="9" t="n">
        <f aca="false">$J308-$N308</f>
        <v>2495.90824125</v>
      </c>
      <c r="P308" s="10" t="n">
        <f aca="false">IF($C308=0,"N/A",$O308/$C308)</f>
        <v>0.0024905535511151</v>
      </c>
    </row>
    <row r="309" customFormat="false" ht="15" hidden="false" customHeight="false" outlineLevel="0" collapsed="false">
      <c r="A309" s="6" t="s">
        <v>91</v>
      </c>
      <c r="B309" s="33" t="n">
        <v>20000</v>
      </c>
      <c r="C309" s="33" t="n">
        <v>166455</v>
      </c>
      <c r="D309" s="9" t="n">
        <f aca="false">IF($B309=0,"",$C309/$B309)</f>
        <v>8.32275</v>
      </c>
      <c r="E309" s="33" t="n">
        <v>20000</v>
      </c>
      <c r="F309" s="6" t="n">
        <v>168700</v>
      </c>
      <c r="G309" s="9" t="n">
        <f aca="false">IF($E309=0,"",$F309/$E309)</f>
        <v>8.435</v>
      </c>
      <c r="H309" s="9" t="n">
        <f aca="false">IF(OR($B309=0,$E309=0),"N/A",$G309-$D309)</f>
        <v>0.112250000000001</v>
      </c>
      <c r="I309" s="33" t="n">
        <f aca="false">$B309-$E309</f>
        <v>0</v>
      </c>
      <c r="J309" s="9" t="n">
        <f aca="false">$F309-$C309</f>
        <v>2245</v>
      </c>
      <c r="K309" s="6" t="str">
        <f aca="false">IF($E309=0,"—",IF($G309&gt;=Comm_Slab2_Start,"0.0325% of sell value","0.0175 paisa per share"))</f>
        <v>0.0175 paisa per share</v>
      </c>
      <c r="L309" s="9" t="n">
        <f aca="false">IF($E309=0,0,IF($G309&gt;=Comm_Slab2_Start,$F309*Comm_Slab2_Rate,$E309*Comm_Slab1_Paisa/Paisa_Per_PKR))</f>
        <v>3.5</v>
      </c>
      <c r="M309" s="9" t="n">
        <f aca="false">$L309*SST_Rate</f>
        <v>0.455</v>
      </c>
      <c r="N309" s="9" t="n">
        <f aca="false">$L309+$M309</f>
        <v>3.955</v>
      </c>
      <c r="O309" s="9" t="n">
        <f aca="false">$J309-$N309</f>
        <v>2241.045</v>
      </c>
      <c r="P309" s="10" t="n">
        <f aca="false">IF($C309=0,"N/A",$O309/$C309)</f>
        <v>0.013463368477967</v>
      </c>
    </row>
    <row r="310" customFormat="false" ht="15" hidden="false" customHeight="false" outlineLevel="0" collapsed="false">
      <c r="A310" s="6" t="s">
        <v>105</v>
      </c>
      <c r="B310" s="33" t="n">
        <v>6500</v>
      </c>
      <c r="C310" s="33" t="n">
        <v>641535</v>
      </c>
      <c r="D310" s="9" t="n">
        <f aca="false">IF($B310=0,"",$C310/$B310)</f>
        <v>98.6976923076923</v>
      </c>
      <c r="E310" s="33" t="n">
        <v>6500</v>
      </c>
      <c r="F310" s="6" t="n">
        <v>641575</v>
      </c>
      <c r="G310" s="9" t="n">
        <f aca="false">IF($E310=0,"",$F310/$E310)</f>
        <v>98.7038461538462</v>
      </c>
      <c r="H310" s="9" t="n">
        <f aca="false">IF(OR($B310=0,$E310=0),"N/A",$G310-$D310)</f>
        <v>0.0061538461538504</v>
      </c>
      <c r="I310" s="33" t="n">
        <f aca="false">$B310-$E310</f>
        <v>0</v>
      </c>
      <c r="J310" s="9" t="n">
        <f aca="false">$F310-$C310</f>
        <v>40</v>
      </c>
      <c r="K310" s="6" t="str">
        <f aca="false">IF($E310=0,"—",IF($G310&gt;=Comm_Slab2_Start,"0.0325% of sell value","0.0175 paisa per share"))</f>
        <v>0.0325% of sell value</v>
      </c>
      <c r="L310" s="9" t="n">
        <f aca="false">IF($E310=0,0,IF($G310&gt;=Comm_Slab2_Start,$F310*Comm_Slab2_Rate,$E310*Comm_Slab1_Paisa/Paisa_Per_PKR))</f>
        <v>208.511875</v>
      </c>
      <c r="M310" s="9" t="n">
        <f aca="false">$L310*SST_Rate</f>
        <v>27.10654375</v>
      </c>
      <c r="N310" s="9" t="n">
        <f aca="false">$L310+$M310</f>
        <v>235.61841875</v>
      </c>
      <c r="O310" s="9" t="n">
        <f aca="false">$J310-$N310</f>
        <v>-195.61841875</v>
      </c>
      <c r="P310" s="10" t="n">
        <f aca="false">IF($C310=0,"N/A",$O310/$C310)</f>
        <v>-0.000304922441877684</v>
      </c>
    </row>
    <row r="311" customFormat="false" ht="15" hidden="false" customHeight="false" outlineLevel="0" collapsed="false">
      <c r="A311" s="6" t="s">
        <v>78</v>
      </c>
      <c r="B311" s="33" t="n">
        <v>13000</v>
      </c>
      <c r="C311" s="33" t="n">
        <v>6567700</v>
      </c>
      <c r="D311" s="9" t="n">
        <f aca="false">IF($B311=0,"",$C311/$B311)</f>
        <v>505.207692307692</v>
      </c>
      <c r="E311" s="33" t="n">
        <v>13000</v>
      </c>
      <c r="F311" s="6" t="n">
        <v>6569395</v>
      </c>
      <c r="G311" s="9" t="n">
        <f aca="false">IF($E311=0,"",$F311/$E311)</f>
        <v>505.338076923077</v>
      </c>
      <c r="H311" s="9" t="n">
        <f aca="false">IF(OR($B311=0,$E311=0),"N/A",$G311-$D311)</f>
        <v>0.130384615384628</v>
      </c>
      <c r="I311" s="33" t="n">
        <f aca="false">$B311-$E311</f>
        <v>0</v>
      </c>
      <c r="J311" s="9" t="n">
        <f aca="false">$F311-$C311</f>
        <v>1695</v>
      </c>
      <c r="K311" s="6" t="str">
        <f aca="false">IF($E311=0,"—",IF($G311&gt;=Comm_Slab2_Start,"0.0325% of sell value","0.0175 paisa per share"))</f>
        <v>0.0325% of sell value</v>
      </c>
      <c r="L311" s="9" t="n">
        <f aca="false">IF($E311=0,0,IF($G311&gt;=Comm_Slab2_Start,$F311*Comm_Slab2_Rate,$E311*Comm_Slab1_Paisa/Paisa_Per_PKR))</f>
        <v>2135.053375</v>
      </c>
      <c r="M311" s="9" t="n">
        <f aca="false">$L311*SST_Rate</f>
        <v>277.55693875</v>
      </c>
      <c r="N311" s="9" t="n">
        <f aca="false">$L311+$M311</f>
        <v>2412.61031375</v>
      </c>
      <c r="O311" s="9" t="n">
        <f aca="false">$J311-$N311</f>
        <v>-717.61031375</v>
      </c>
      <c r="P311" s="10" t="n">
        <f aca="false">IF($C311=0,"N/A",$O311/$C311)</f>
        <v>-0.000109263564680177</v>
      </c>
    </row>
    <row r="312" customFormat="false" ht="15" hidden="false" customHeight="false" outlineLevel="0" collapsed="false">
      <c r="A312" s="6" t="s">
        <v>125</v>
      </c>
      <c r="B312" s="33" t="n">
        <v>5000</v>
      </c>
      <c r="C312" s="33" t="n">
        <v>1611040</v>
      </c>
      <c r="D312" s="9" t="n">
        <f aca="false">IF($B312=0,"",$C312/$B312)</f>
        <v>322.208</v>
      </c>
      <c r="E312" s="33" t="n">
        <v>5000</v>
      </c>
      <c r="F312" s="6" t="n">
        <v>1615000</v>
      </c>
      <c r="G312" s="9" t="n">
        <f aca="false">IF($E312=0,"",$F312/$E312)</f>
        <v>323</v>
      </c>
      <c r="H312" s="9" t="n">
        <f aca="false">IF(OR($B312=0,$E312=0),"N/A",$G312-$D312)</f>
        <v>0.791999999999973</v>
      </c>
      <c r="I312" s="33" t="n">
        <f aca="false">$B312-$E312</f>
        <v>0</v>
      </c>
      <c r="J312" s="9" t="n">
        <f aca="false">$F312-$C312</f>
        <v>3960</v>
      </c>
      <c r="K312" s="6" t="str">
        <f aca="false">IF($E312=0,"—",IF($G312&gt;=Comm_Slab2_Start,"0.0325% of sell value","0.0175 paisa per share"))</f>
        <v>0.0325% of sell value</v>
      </c>
      <c r="L312" s="9" t="n">
        <f aca="false">IF($E312=0,0,IF($G312&gt;=Comm_Slab2_Start,$F312*Comm_Slab2_Rate,$E312*Comm_Slab1_Paisa/Paisa_Per_PKR))</f>
        <v>524.875</v>
      </c>
      <c r="M312" s="9" t="n">
        <f aca="false">$L312*SST_Rate</f>
        <v>68.23375</v>
      </c>
      <c r="N312" s="9" t="n">
        <f aca="false">$L312+$M312</f>
        <v>593.10875</v>
      </c>
      <c r="O312" s="9" t="n">
        <f aca="false">$J312-$N312</f>
        <v>3366.89125</v>
      </c>
      <c r="P312" s="10" t="n">
        <f aca="false">IF($C312=0,"N/A",$O312/$C312)</f>
        <v>0.00208988681224551</v>
      </c>
    </row>
    <row r="313" customFormat="false" ht="15" hidden="false" customHeight="false" outlineLevel="0" collapsed="false">
      <c r="A313" s="6" t="s">
        <v>74</v>
      </c>
      <c r="B313" s="33" t="n">
        <v>17500</v>
      </c>
      <c r="C313" s="33" t="n">
        <v>1591945</v>
      </c>
      <c r="D313" s="9" t="n">
        <f aca="false">IF($B313=0,"",$C313/$B313)</f>
        <v>90.9682857142857</v>
      </c>
      <c r="E313" s="33" t="n">
        <v>17500</v>
      </c>
      <c r="F313" s="6" t="n">
        <v>1593510</v>
      </c>
      <c r="G313" s="9" t="n">
        <f aca="false">IF($E313=0,"",$F313/$E313)</f>
        <v>91.0577142857143</v>
      </c>
      <c r="H313" s="9" t="n">
        <f aca="false">IF(OR($B313=0,$E313=0),"N/A",$G313-$D313)</f>
        <v>0.0894285714285701</v>
      </c>
      <c r="I313" s="33" t="n">
        <f aca="false">$B313-$E313</f>
        <v>0</v>
      </c>
      <c r="J313" s="9" t="n">
        <f aca="false">$F313-$C313</f>
        <v>1565</v>
      </c>
      <c r="K313" s="6" t="str">
        <f aca="false">IF($E313=0,"—",IF($G313&gt;=Comm_Slab2_Start,"0.0325% of sell value","0.0175 paisa per share"))</f>
        <v>0.0325% of sell value</v>
      </c>
      <c r="L313" s="9" t="n">
        <f aca="false">IF($E313=0,0,IF($G313&gt;=Comm_Slab2_Start,$F313*Comm_Slab2_Rate,$E313*Comm_Slab1_Paisa/Paisa_Per_PKR))</f>
        <v>517.89075</v>
      </c>
      <c r="M313" s="9" t="n">
        <f aca="false">$L313*SST_Rate</f>
        <v>67.3257975</v>
      </c>
      <c r="N313" s="9" t="n">
        <f aca="false">$L313+$M313</f>
        <v>585.2165475</v>
      </c>
      <c r="O313" s="9" t="n">
        <f aca="false">$J313-$N313</f>
        <v>979.7834525</v>
      </c>
      <c r="P313" s="10" t="n">
        <f aca="false">IF($C313=0,"N/A",$O313/$C313)</f>
        <v>0.000615463130007632</v>
      </c>
    </row>
    <row r="314" customFormat="false" ht="15" hidden="false" customHeight="false" outlineLevel="0" collapsed="false">
      <c r="A314" s="29" t="s">
        <v>42</v>
      </c>
      <c r="B314" s="50" t="n">
        <f aca="false">SUM(B308:B313)</f>
        <v>67000</v>
      </c>
      <c r="C314" s="50" t="n">
        <f aca="false">SUM(C308:C313)</f>
        <v>11580825</v>
      </c>
      <c r="D314" s="51" t="n">
        <f aca="false">IF($B314=0,"",$C314/$B314)</f>
        <v>172.848134328358</v>
      </c>
      <c r="E314" s="50" t="n">
        <f aca="false">SUM(E308:E313)</f>
        <v>67000</v>
      </c>
      <c r="F314" s="29" t="n">
        <f aca="false">SUM(F308:F313)</f>
        <v>11593195</v>
      </c>
      <c r="G314" s="51" t="n">
        <f aca="false">IF($E314=0,"",$F314/$E314)</f>
        <v>173.03276119403</v>
      </c>
      <c r="H314" s="51" t="n">
        <f aca="false">IF(OR($B314=0,$E314=0),"N/A",$G314-$D314)</f>
        <v>0.184626865671646</v>
      </c>
      <c r="I314" s="50" t="n">
        <f aca="false">$B314-$E314</f>
        <v>0</v>
      </c>
      <c r="J314" s="51" t="n">
        <f aca="false">SUM(J308:J313)</f>
        <v>12370</v>
      </c>
      <c r="K314" s="29"/>
      <c r="L314" s="51" t="n">
        <f aca="false">SUM(L308:L313)</f>
        <v>3716.460875</v>
      </c>
      <c r="M314" s="51" t="n">
        <f aca="false">SUM(M308:M313)</f>
        <v>483.13991375</v>
      </c>
      <c r="N314" s="51" t="n">
        <f aca="false">$L314+$M314</f>
        <v>4199.60078875</v>
      </c>
      <c r="O314" s="51" t="n">
        <f aca="false">SUM(O308:O313)</f>
        <v>8170.39921125</v>
      </c>
      <c r="P314" s="52" t="n">
        <f aca="false">IF($C314=0,"N/A",$O314/$C314)</f>
        <v>0.000705510981406765</v>
      </c>
    </row>
    <row r="317" customFormat="false" ht="19.7" hidden="false" customHeight="false" outlineLevel="0" collapsed="false">
      <c r="A317" s="1" t="s">
        <v>177</v>
      </c>
    </row>
    <row r="318" customFormat="false" ht="15" hidden="false" customHeight="false" outlineLevel="0" collapsed="false">
      <c r="A318" s="2" t="s">
        <v>132</v>
      </c>
      <c r="D318" s="31" t="s">
        <v>133</v>
      </c>
    </row>
    <row r="319" customFormat="false" ht="15" hidden="false" customHeight="false" outlineLevel="0" collapsed="false">
      <c r="A319" s="3" t="s">
        <v>134</v>
      </c>
      <c r="B319" s="27" t="n">
        <v>46274</v>
      </c>
      <c r="D319" s="3" t="s">
        <v>135</v>
      </c>
      <c r="E319" s="47" t="n">
        <f aca="false">C334</f>
        <v>4936491.02</v>
      </c>
    </row>
    <row r="320" customFormat="false" ht="15" hidden="false" customHeight="false" outlineLevel="0" collapsed="false">
      <c r="A320" s="3" t="s">
        <v>136</v>
      </c>
      <c r="B320" s="28" t="s">
        <v>137</v>
      </c>
      <c r="D320" s="3" t="s">
        <v>138</v>
      </c>
      <c r="E320" s="47" t="n">
        <f aca="false">F334</f>
        <v>4940816</v>
      </c>
    </row>
    <row r="321" customFormat="false" ht="15" hidden="false" customHeight="false" outlineLevel="0" collapsed="false">
      <c r="A321" s="3" t="s">
        <v>139</v>
      </c>
      <c r="B321" s="28" t="s">
        <v>151</v>
      </c>
      <c r="D321" s="3" t="s">
        <v>11</v>
      </c>
      <c r="E321" s="47" t="n">
        <f aca="false">J334</f>
        <v>4324.97999999998</v>
      </c>
    </row>
    <row r="322" customFormat="false" ht="15" hidden="false" customHeight="false" outlineLevel="0" collapsed="false">
      <c r="A322" s="3" t="s">
        <v>141</v>
      </c>
      <c r="B322" s="28" t="s">
        <v>142</v>
      </c>
      <c r="D322" s="3" t="s">
        <v>13</v>
      </c>
      <c r="E322" s="47" t="n">
        <f aca="false">L334</f>
        <v>1605.7652</v>
      </c>
    </row>
    <row r="323" customFormat="false" ht="15" hidden="false" customHeight="false" outlineLevel="0" collapsed="false">
      <c r="A323" s="3" t="s">
        <v>143</v>
      </c>
      <c r="B323" s="28" t="s">
        <v>144</v>
      </c>
      <c r="D323" s="3" t="s">
        <v>15</v>
      </c>
      <c r="E323" s="47" t="n">
        <f aca="false">M334</f>
        <v>208.749476</v>
      </c>
    </row>
    <row r="324" customFormat="false" ht="15" hidden="false" customHeight="false" outlineLevel="0" collapsed="false">
      <c r="A324" s="3" t="s">
        <v>145</v>
      </c>
      <c r="B324" s="28" t="s">
        <v>178</v>
      </c>
      <c r="D324" s="3" t="s">
        <v>147</v>
      </c>
      <c r="E324" s="47" t="n">
        <f aca="false">N334</f>
        <v>1814.514676</v>
      </c>
    </row>
    <row r="325" customFormat="false" ht="15" hidden="false" customHeight="false" outlineLevel="0" collapsed="false">
      <c r="D325" s="3" t="s">
        <v>16</v>
      </c>
      <c r="E325" s="47" t="n">
        <f aca="false">O334</f>
        <v>2510.46532399998</v>
      </c>
    </row>
    <row r="326" customFormat="false" ht="15" hidden="false" customHeight="false" outlineLevel="0" collapsed="false">
      <c r="D326" s="3" t="s">
        <v>8</v>
      </c>
      <c r="E326" s="48" t="n">
        <f aca="false">P334</f>
        <v>0.000508552596131327</v>
      </c>
    </row>
    <row r="327" customFormat="false" ht="15" hidden="false" customHeight="false" outlineLevel="0" collapsed="false">
      <c r="D327" s="3" t="s">
        <v>148</v>
      </c>
      <c r="E327" s="49" t="n">
        <f aca="false">I334</f>
        <v>0</v>
      </c>
    </row>
    <row r="328" customFormat="false" ht="15" hidden="false" customHeight="false" outlineLevel="0" collapsed="false">
      <c r="A328" s="31" t="s">
        <v>149</v>
      </c>
    </row>
    <row r="329" customFormat="false" ht="30" hidden="false" customHeight="true" outlineLevel="0" collapsed="false">
      <c r="A329" s="18" t="s">
        <v>71</v>
      </c>
      <c r="B329" s="18" t="s">
        <v>33</v>
      </c>
      <c r="C329" s="18" t="s">
        <v>36</v>
      </c>
      <c r="D329" s="18" t="s">
        <v>60</v>
      </c>
      <c r="E329" s="18" t="s">
        <v>34</v>
      </c>
      <c r="F329" s="18" t="s">
        <v>37</v>
      </c>
      <c r="G329" s="18" t="s">
        <v>61</v>
      </c>
      <c r="H329" s="18" t="s">
        <v>62</v>
      </c>
      <c r="I329" s="18" t="s">
        <v>35</v>
      </c>
      <c r="J329" s="18" t="s">
        <v>38</v>
      </c>
      <c r="K329" s="18" t="s">
        <v>63</v>
      </c>
      <c r="L329" s="18" t="s">
        <v>39</v>
      </c>
      <c r="M329" s="18" t="s">
        <v>64</v>
      </c>
      <c r="N329" s="18" t="s">
        <v>41</v>
      </c>
      <c r="O329" s="18" t="s">
        <v>7</v>
      </c>
      <c r="P329" s="18" t="s">
        <v>8</v>
      </c>
    </row>
    <row r="330" customFormat="false" ht="15" hidden="false" customHeight="false" outlineLevel="0" collapsed="false">
      <c r="A330" s="6" t="s">
        <v>96</v>
      </c>
      <c r="B330" s="33" t="n">
        <v>15000</v>
      </c>
      <c r="C330" s="33" t="n">
        <v>887500</v>
      </c>
      <c r="D330" s="9" t="n">
        <f aca="false">IF($B330=0,"",$C330/$B330)</f>
        <v>59.1666666666667</v>
      </c>
      <c r="E330" s="33" t="n">
        <v>15000</v>
      </c>
      <c r="F330" s="6" t="n">
        <v>888325</v>
      </c>
      <c r="G330" s="9" t="n">
        <f aca="false">IF($E330=0,"",$F330/$E330)</f>
        <v>59.2216666666667</v>
      </c>
      <c r="H330" s="9" t="n">
        <f aca="false">IF(OR($B330=0,$E330=0),"N/A",$G330-$D330)</f>
        <v>0.0549999999999997</v>
      </c>
      <c r="I330" s="33" t="n">
        <f aca="false">$B330-$E330</f>
        <v>0</v>
      </c>
      <c r="J330" s="9" t="n">
        <f aca="false">$F330-$C330</f>
        <v>825</v>
      </c>
      <c r="K330" s="6" t="str">
        <f aca="false">IF($E330=0,"—",IF($G330&gt;=Comm_Slab2_Start,"0.0325% of sell value","0.0175 paisa per share"))</f>
        <v>0.0325% of sell value</v>
      </c>
      <c r="L330" s="9" t="n">
        <f aca="false">IF($E330=0,0,IF($G330&gt;=Comm_Slab2_Start,$F330*Comm_Slab2_Rate,$E330*Comm_Slab1_Paisa/Paisa_Per_PKR))</f>
        <v>288.705625</v>
      </c>
      <c r="M330" s="9" t="n">
        <f aca="false">$L330*SST_Rate</f>
        <v>37.53173125</v>
      </c>
      <c r="N330" s="9" t="n">
        <f aca="false">$L330+$M330</f>
        <v>326.23735625</v>
      </c>
      <c r="O330" s="9" t="n">
        <f aca="false">$J330-$N330</f>
        <v>498.76264375</v>
      </c>
      <c r="P330" s="10" t="n">
        <f aca="false">IF($C330=0,"N/A",$O330/$C330)</f>
        <v>0.000561986077464789</v>
      </c>
    </row>
    <row r="331" customFormat="false" ht="15" hidden="false" customHeight="false" outlineLevel="0" collapsed="false">
      <c r="A331" s="6" t="s">
        <v>121</v>
      </c>
      <c r="B331" s="33" t="n">
        <v>1953</v>
      </c>
      <c r="C331" s="33" t="n">
        <v>1014116.02</v>
      </c>
      <c r="D331" s="9" t="n">
        <f aca="false">IF($B331=0,"",$C331/$B331)</f>
        <v>519.260634920635</v>
      </c>
      <c r="E331" s="33" t="n">
        <v>1953</v>
      </c>
      <c r="F331" s="6" t="n">
        <v>1016916</v>
      </c>
      <c r="G331" s="9" t="n">
        <f aca="false">IF($E331=0,"",$F331/$E331)</f>
        <v>520.694316436252</v>
      </c>
      <c r="H331" s="9" t="n">
        <f aca="false">IF(OR($B331=0,$E331=0),"N/A",$G331-$D331)</f>
        <v>1.43368151561697</v>
      </c>
      <c r="I331" s="33" t="n">
        <f aca="false">$B331-$E331</f>
        <v>0</v>
      </c>
      <c r="J331" s="9" t="n">
        <f aca="false">$F331-$C331</f>
        <v>2799.97999999998</v>
      </c>
      <c r="K331" s="6" t="str">
        <f aca="false">IF($E331=0,"—",IF($G331&gt;=Comm_Slab2_Start,"0.0325% of sell value","0.0175 paisa per share"))</f>
        <v>0.0325% of sell value</v>
      </c>
      <c r="L331" s="9" t="n">
        <f aca="false">IF($E331=0,0,IF($G331&gt;=Comm_Slab2_Start,$F331*Comm_Slab2_Rate,$E331*Comm_Slab1_Paisa/Paisa_Per_PKR))</f>
        <v>330.4977</v>
      </c>
      <c r="M331" s="9" t="n">
        <f aca="false">$L331*SST_Rate</f>
        <v>42.964701</v>
      </c>
      <c r="N331" s="9" t="n">
        <f aca="false">$L331+$M331</f>
        <v>373.462401</v>
      </c>
      <c r="O331" s="9" t="n">
        <f aca="false">$J331-$N331</f>
        <v>2426.51759899998</v>
      </c>
      <c r="P331" s="10" t="n">
        <f aca="false">IF($C331=0,"N/A",$O331/$C331)</f>
        <v>0.00239274161057034</v>
      </c>
    </row>
    <row r="332" customFormat="false" ht="15" hidden="false" customHeight="false" outlineLevel="0" collapsed="false">
      <c r="A332" s="6" t="s">
        <v>74</v>
      </c>
      <c r="B332" s="33" t="n">
        <v>30000</v>
      </c>
      <c r="C332" s="33" t="n">
        <v>2612475</v>
      </c>
      <c r="D332" s="9" t="n">
        <f aca="false">IF($B332=0,"",$C332/$B332)</f>
        <v>87.0825</v>
      </c>
      <c r="E332" s="33" t="n">
        <v>30000</v>
      </c>
      <c r="F332" s="6" t="n">
        <v>2613575</v>
      </c>
      <c r="G332" s="9" t="n">
        <f aca="false">IF($E332=0,"",$F332/$E332)</f>
        <v>87.1191666666667</v>
      </c>
      <c r="H332" s="9" t="n">
        <f aca="false">IF(OR($B332=0,$E332=0),"N/A",$G332-$D332)</f>
        <v>0.036666666666676</v>
      </c>
      <c r="I332" s="33" t="n">
        <f aca="false">$B332-$E332</f>
        <v>0</v>
      </c>
      <c r="J332" s="9" t="n">
        <f aca="false">$F332-$C332</f>
        <v>1100</v>
      </c>
      <c r="K332" s="6" t="str">
        <f aca="false">IF($E332=0,"—",IF($G332&gt;=Comm_Slab2_Start,"0.0325% of sell value","0.0175 paisa per share"))</f>
        <v>0.0325% of sell value</v>
      </c>
      <c r="L332" s="9" t="n">
        <f aca="false">IF($E332=0,0,IF($G332&gt;=Comm_Slab2_Start,$F332*Comm_Slab2_Rate,$E332*Comm_Slab1_Paisa/Paisa_Per_PKR))</f>
        <v>849.411875</v>
      </c>
      <c r="M332" s="9" t="n">
        <f aca="false">$L332*SST_Rate</f>
        <v>110.42354375</v>
      </c>
      <c r="N332" s="9" t="n">
        <f aca="false">$L332+$M332</f>
        <v>959.83541875</v>
      </c>
      <c r="O332" s="9" t="n">
        <f aca="false">$J332-$N332</f>
        <v>140.16458125</v>
      </c>
      <c r="P332" s="10" t="n">
        <f aca="false">IF($C332=0,"N/A",$O332/$C332)</f>
        <v>5.36520277706007E-005</v>
      </c>
    </row>
    <row r="333" customFormat="false" ht="15" hidden="false" customHeight="false" outlineLevel="0" collapsed="false">
      <c r="A333" s="6" t="s">
        <v>113</v>
      </c>
      <c r="B333" s="33" t="n">
        <v>5000</v>
      </c>
      <c r="C333" s="33" t="n">
        <v>422400</v>
      </c>
      <c r="D333" s="9" t="n">
        <f aca="false">IF($B333=0,"",$C333/$B333)</f>
        <v>84.48</v>
      </c>
      <c r="E333" s="33" t="n">
        <v>5000</v>
      </c>
      <c r="F333" s="6" t="n">
        <v>422000</v>
      </c>
      <c r="G333" s="9" t="n">
        <f aca="false">IF($E333=0,"",$F333/$E333)</f>
        <v>84.4</v>
      </c>
      <c r="H333" s="9" t="n">
        <f aca="false">IF(OR($B333=0,$E333=0),"N/A",$G333-$D333)</f>
        <v>-0.0799999999999983</v>
      </c>
      <c r="I333" s="33" t="n">
        <f aca="false">$B333-$E333</f>
        <v>0</v>
      </c>
      <c r="J333" s="9" t="n">
        <f aca="false">$F333-$C333</f>
        <v>-400</v>
      </c>
      <c r="K333" s="6" t="str">
        <f aca="false">IF($E333=0,"—",IF($G333&gt;=Comm_Slab2_Start,"0.0325% of sell value","0.0175 paisa per share"))</f>
        <v>0.0325% of sell value</v>
      </c>
      <c r="L333" s="9" t="n">
        <f aca="false">IF($E333=0,0,IF($G333&gt;=Comm_Slab2_Start,$F333*Comm_Slab2_Rate,$E333*Comm_Slab1_Paisa/Paisa_Per_PKR))</f>
        <v>137.15</v>
      </c>
      <c r="M333" s="9" t="n">
        <f aca="false">$L333*SST_Rate</f>
        <v>17.8295</v>
      </c>
      <c r="N333" s="9" t="n">
        <f aca="false">$L333+$M333</f>
        <v>154.9795</v>
      </c>
      <c r="O333" s="9" t="n">
        <f aca="false">$J333-$N333</f>
        <v>-554.9795</v>
      </c>
      <c r="P333" s="10" t="n">
        <f aca="false">IF($C333=0,"N/A",$O333/$C333)</f>
        <v>-0.00131387192234849</v>
      </c>
    </row>
    <row r="334" customFormat="false" ht="15" hidden="false" customHeight="false" outlineLevel="0" collapsed="false">
      <c r="A334" s="29" t="s">
        <v>42</v>
      </c>
      <c r="B334" s="50" t="n">
        <f aca="false">SUM(B330:B333)</f>
        <v>51953</v>
      </c>
      <c r="C334" s="50" t="n">
        <f aca="false">SUM(C330:C333)</f>
        <v>4936491.02</v>
      </c>
      <c r="D334" s="51" t="n">
        <f aca="false">IF($B334=0,"",$C334/$B334)</f>
        <v>95.0184016322445</v>
      </c>
      <c r="E334" s="50" t="n">
        <f aca="false">SUM(E330:E333)</f>
        <v>51953</v>
      </c>
      <c r="F334" s="29" t="n">
        <f aca="false">SUM(F330:F333)</f>
        <v>4940816</v>
      </c>
      <c r="G334" s="51" t="n">
        <f aca="false">IF($E334=0,"",$F334/$E334)</f>
        <v>95.1016495678787</v>
      </c>
      <c r="H334" s="51" t="n">
        <f aca="false">IF(OR($B334=0,$E334=0),"N/A",$G334-$D334)</f>
        <v>0.0832479356341338</v>
      </c>
      <c r="I334" s="50" t="n">
        <f aca="false">$B334-$E334</f>
        <v>0</v>
      </c>
      <c r="J334" s="51" t="n">
        <f aca="false">SUM(J330:J333)</f>
        <v>4324.97999999998</v>
      </c>
      <c r="K334" s="29"/>
      <c r="L334" s="51" t="n">
        <f aca="false">SUM(L330:L333)</f>
        <v>1605.7652</v>
      </c>
      <c r="M334" s="51" t="n">
        <f aca="false">SUM(M330:M333)</f>
        <v>208.749476</v>
      </c>
      <c r="N334" s="51" t="n">
        <f aca="false">$L334+$M334</f>
        <v>1814.514676</v>
      </c>
      <c r="O334" s="51" t="n">
        <f aca="false">SUM(O330:O333)</f>
        <v>2510.46532399998</v>
      </c>
      <c r="P334" s="52" t="n">
        <f aca="false">IF($C334=0,"N/A",$O334/$C334)</f>
        <v>0.000508552596131327</v>
      </c>
    </row>
    <row r="337" customFormat="false" ht="19.7" hidden="false" customHeight="false" outlineLevel="0" collapsed="false">
      <c r="A337" s="1" t="s">
        <v>179</v>
      </c>
    </row>
    <row r="338" customFormat="false" ht="15" hidden="false" customHeight="false" outlineLevel="0" collapsed="false">
      <c r="A338" s="2" t="s">
        <v>132</v>
      </c>
      <c r="D338" s="31" t="s">
        <v>133</v>
      </c>
    </row>
    <row r="339" customFormat="false" ht="15" hidden="false" customHeight="false" outlineLevel="0" collapsed="false">
      <c r="A339" s="3" t="s">
        <v>134</v>
      </c>
      <c r="B339" s="27" t="n">
        <v>46275</v>
      </c>
      <c r="D339" s="3" t="s">
        <v>135</v>
      </c>
      <c r="E339" s="47" t="n">
        <f aca="false">C355</f>
        <v>3843124.44</v>
      </c>
    </row>
    <row r="340" customFormat="false" ht="15" hidden="false" customHeight="false" outlineLevel="0" collapsed="false">
      <c r="A340" s="3" t="s">
        <v>136</v>
      </c>
      <c r="B340" s="28" t="s">
        <v>137</v>
      </c>
      <c r="D340" s="3" t="s">
        <v>138</v>
      </c>
      <c r="E340" s="47" t="n">
        <f aca="false">F355</f>
        <v>3839233.91</v>
      </c>
    </row>
    <row r="341" customFormat="false" ht="15" hidden="false" customHeight="false" outlineLevel="0" collapsed="false">
      <c r="A341" s="3" t="s">
        <v>139</v>
      </c>
      <c r="B341" s="28" t="s">
        <v>151</v>
      </c>
      <c r="D341" s="3" t="s">
        <v>11</v>
      </c>
      <c r="E341" s="47" t="n">
        <f aca="false">J355</f>
        <v>-3890.5299999999</v>
      </c>
    </row>
    <row r="342" customFormat="false" ht="15" hidden="false" customHeight="false" outlineLevel="0" collapsed="false">
      <c r="A342" s="3" t="s">
        <v>141</v>
      </c>
      <c r="B342" s="28" t="s">
        <v>142</v>
      </c>
      <c r="D342" s="3" t="s">
        <v>13</v>
      </c>
      <c r="E342" s="47" t="n">
        <f aca="false">L355</f>
        <v>1189.71239575</v>
      </c>
    </row>
    <row r="343" customFormat="false" ht="15" hidden="false" customHeight="false" outlineLevel="0" collapsed="false">
      <c r="A343" s="3" t="s">
        <v>143</v>
      </c>
      <c r="B343" s="28" t="s">
        <v>144</v>
      </c>
      <c r="D343" s="3" t="s">
        <v>15</v>
      </c>
      <c r="E343" s="47" t="n">
        <f aca="false">M355</f>
        <v>154.6626114475</v>
      </c>
    </row>
    <row r="344" customFormat="false" ht="15" hidden="false" customHeight="false" outlineLevel="0" collapsed="false">
      <c r="A344" s="3" t="s">
        <v>145</v>
      </c>
      <c r="B344" s="28" t="s">
        <v>180</v>
      </c>
      <c r="D344" s="3" t="s">
        <v>147</v>
      </c>
      <c r="E344" s="47" t="n">
        <f aca="false">N355</f>
        <v>1344.3750071975</v>
      </c>
    </row>
    <row r="345" customFormat="false" ht="15" hidden="false" customHeight="false" outlineLevel="0" collapsed="false">
      <c r="D345" s="3" t="s">
        <v>16</v>
      </c>
      <c r="E345" s="47" t="n">
        <f aca="false">O355</f>
        <v>-5234.9050071974</v>
      </c>
    </row>
    <row r="346" customFormat="false" ht="15" hidden="false" customHeight="false" outlineLevel="0" collapsed="false">
      <c r="D346" s="3" t="s">
        <v>8</v>
      </c>
      <c r="E346" s="48" t="n">
        <f aca="false">P355</f>
        <v>-0.00136214819190122</v>
      </c>
    </row>
    <row r="347" customFormat="false" ht="15" hidden="false" customHeight="false" outlineLevel="0" collapsed="false">
      <c r="D347" s="3" t="s">
        <v>148</v>
      </c>
      <c r="E347" s="49" t="n">
        <f aca="false">I355</f>
        <v>0</v>
      </c>
    </row>
    <row r="348" customFormat="false" ht="15" hidden="false" customHeight="false" outlineLevel="0" collapsed="false">
      <c r="A348" s="31" t="s">
        <v>149</v>
      </c>
    </row>
    <row r="349" customFormat="false" ht="30" hidden="false" customHeight="true" outlineLevel="0" collapsed="false">
      <c r="A349" s="18" t="s">
        <v>71</v>
      </c>
      <c r="B349" s="18" t="s">
        <v>33</v>
      </c>
      <c r="C349" s="18" t="s">
        <v>36</v>
      </c>
      <c r="D349" s="18" t="s">
        <v>60</v>
      </c>
      <c r="E349" s="18" t="s">
        <v>34</v>
      </c>
      <c r="F349" s="18" t="s">
        <v>37</v>
      </c>
      <c r="G349" s="18" t="s">
        <v>61</v>
      </c>
      <c r="H349" s="18" t="s">
        <v>62</v>
      </c>
      <c r="I349" s="18" t="s">
        <v>35</v>
      </c>
      <c r="J349" s="18" t="s">
        <v>38</v>
      </c>
      <c r="K349" s="18" t="s">
        <v>63</v>
      </c>
      <c r="L349" s="18" t="s">
        <v>39</v>
      </c>
      <c r="M349" s="18" t="s">
        <v>64</v>
      </c>
      <c r="N349" s="18" t="s">
        <v>41</v>
      </c>
      <c r="O349" s="18" t="s">
        <v>7</v>
      </c>
      <c r="P349" s="18" t="s">
        <v>8</v>
      </c>
    </row>
    <row r="350" customFormat="false" ht="15" hidden="false" customHeight="false" outlineLevel="0" collapsed="false">
      <c r="A350" s="6" t="s">
        <v>114</v>
      </c>
      <c r="B350" s="33" t="n">
        <v>10000</v>
      </c>
      <c r="C350" s="33" t="n">
        <v>184000</v>
      </c>
      <c r="D350" s="9" t="n">
        <f aca="false">IF($B350=0,"",$C350/$B350)</f>
        <v>18.4</v>
      </c>
      <c r="E350" s="33" t="n">
        <v>10000</v>
      </c>
      <c r="F350" s="6" t="n">
        <v>183965</v>
      </c>
      <c r="G350" s="9" t="n">
        <f aca="false">IF($E350=0,"",$F350/$E350)</f>
        <v>18.3965</v>
      </c>
      <c r="H350" s="9" t="n">
        <f aca="false">IF(OR($B350=0,$E350=0),"N/A",$G350-$D350)</f>
        <v>-0.00349999999999895</v>
      </c>
      <c r="I350" s="33" t="n">
        <f aca="false">$B350-$E350</f>
        <v>0</v>
      </c>
      <c r="J350" s="9" t="n">
        <f aca="false">$F350-$C350</f>
        <v>-35</v>
      </c>
      <c r="K350" s="6" t="str">
        <f aca="false">IF($E350=0,"—",IF($G350&gt;=Comm_Slab2_Start,"0.0325% of sell value","0.0175 paisa per share"))</f>
        <v>0.0175 paisa per share</v>
      </c>
      <c r="L350" s="9" t="n">
        <f aca="false">IF($E350=0,0,IF($G350&gt;=Comm_Slab2_Start,$F350*Comm_Slab2_Rate,$E350*Comm_Slab1_Paisa/Paisa_Per_PKR))</f>
        <v>1.75</v>
      </c>
      <c r="M350" s="9" t="n">
        <f aca="false">$L350*SST_Rate</f>
        <v>0.2275</v>
      </c>
      <c r="N350" s="9" t="n">
        <f aca="false">$L350+$M350</f>
        <v>1.9775</v>
      </c>
      <c r="O350" s="9" t="n">
        <f aca="false">$J350-$N350</f>
        <v>-36.9775</v>
      </c>
      <c r="P350" s="10" t="n">
        <f aca="false">IF($C350=0,"N/A",$O350/$C350)</f>
        <v>-0.000200964673913043</v>
      </c>
    </row>
    <row r="351" customFormat="false" ht="15" hidden="false" customHeight="false" outlineLevel="0" collapsed="false">
      <c r="A351" s="6" t="s">
        <v>103</v>
      </c>
      <c r="B351" s="33" t="n">
        <v>381</v>
      </c>
      <c r="C351" s="33" t="n">
        <v>36842.7</v>
      </c>
      <c r="D351" s="9" t="n">
        <f aca="false">IF($B351=0,"",$C351/$B351)</f>
        <v>96.7</v>
      </c>
      <c r="E351" s="33" t="n">
        <v>381</v>
      </c>
      <c r="F351" s="6" t="n">
        <v>36866.31</v>
      </c>
      <c r="G351" s="9" t="n">
        <f aca="false">IF($E351=0,"",$F351/$E351)</f>
        <v>96.761968503937</v>
      </c>
      <c r="H351" s="9" t="n">
        <f aca="false">IF(OR($B351=0,$E351=0),"N/A",$G351-$D351)</f>
        <v>0.0619685039370097</v>
      </c>
      <c r="I351" s="33" t="n">
        <f aca="false">$B351-$E351</f>
        <v>0</v>
      </c>
      <c r="J351" s="9" t="n">
        <f aca="false">$F351-$C351</f>
        <v>23.6100000000006</v>
      </c>
      <c r="K351" s="6" t="str">
        <f aca="false">IF($E351=0,"—",IF($G351&gt;=Comm_Slab2_Start,"0.0325% of sell value","0.0175 paisa per share"))</f>
        <v>0.0325% of sell value</v>
      </c>
      <c r="L351" s="9" t="n">
        <f aca="false">IF($E351=0,0,IF($G351&gt;=Comm_Slab2_Start,$F351*Comm_Slab2_Rate,$E351*Comm_Slab1_Paisa/Paisa_Per_PKR))</f>
        <v>11.98155075</v>
      </c>
      <c r="M351" s="9" t="n">
        <f aca="false">$L351*SST_Rate</f>
        <v>1.5576015975</v>
      </c>
      <c r="N351" s="9" t="n">
        <f aca="false">$L351+$M351</f>
        <v>13.5391523475</v>
      </c>
      <c r="O351" s="9" t="n">
        <f aca="false">$J351-$N351</f>
        <v>10.0708476525006</v>
      </c>
      <c r="P351" s="10" t="n">
        <f aca="false">IF($C351=0,"N/A",$O351/$C351)</f>
        <v>0.000273347166535042</v>
      </c>
    </row>
    <row r="352" customFormat="false" ht="15" hidden="false" customHeight="false" outlineLevel="0" collapsed="false">
      <c r="A352" s="6" t="s">
        <v>105</v>
      </c>
      <c r="B352" s="33" t="n">
        <v>10000</v>
      </c>
      <c r="C352" s="33" t="n">
        <v>973960</v>
      </c>
      <c r="D352" s="9" t="n">
        <f aca="false">IF($B352=0,"",$C352/$B352)</f>
        <v>97.396</v>
      </c>
      <c r="E352" s="33" t="n">
        <v>10000</v>
      </c>
      <c r="F352" s="6" t="n">
        <v>973685</v>
      </c>
      <c r="G352" s="9" t="n">
        <f aca="false">IF($E352=0,"",$F352/$E352)</f>
        <v>97.3685</v>
      </c>
      <c r="H352" s="9" t="n">
        <f aca="false">IF(OR($B352=0,$E352=0),"N/A",$G352-$D352)</f>
        <v>-0.0275000000000034</v>
      </c>
      <c r="I352" s="33" t="n">
        <f aca="false">$B352-$E352</f>
        <v>0</v>
      </c>
      <c r="J352" s="9" t="n">
        <f aca="false">$F352-$C352</f>
        <v>-275</v>
      </c>
      <c r="K352" s="6" t="str">
        <f aca="false">IF($E352=0,"—",IF($G352&gt;=Comm_Slab2_Start,"0.0325% of sell value","0.0175 paisa per share"))</f>
        <v>0.0325% of sell value</v>
      </c>
      <c r="L352" s="9" t="n">
        <f aca="false">IF($E352=0,0,IF($G352&gt;=Comm_Slab2_Start,$F352*Comm_Slab2_Rate,$E352*Comm_Slab1_Paisa/Paisa_Per_PKR))</f>
        <v>316.447625</v>
      </c>
      <c r="M352" s="9" t="n">
        <f aca="false">$L352*SST_Rate</f>
        <v>41.13819125</v>
      </c>
      <c r="N352" s="9" t="n">
        <f aca="false">$L352+$M352</f>
        <v>357.58581625</v>
      </c>
      <c r="O352" s="9" t="n">
        <f aca="false">$J352-$N352</f>
        <v>-632.58581625</v>
      </c>
      <c r="P352" s="10" t="n">
        <f aca="false">IF($C352=0,"N/A",$O352/$C352)</f>
        <v>-0.000649498764066286</v>
      </c>
    </row>
    <row r="353" customFormat="false" ht="15" hidden="false" customHeight="false" outlineLevel="0" collapsed="false">
      <c r="A353" s="6" t="s">
        <v>121</v>
      </c>
      <c r="B353" s="33" t="n">
        <v>2024</v>
      </c>
      <c r="C353" s="33" t="n">
        <v>1069721.74</v>
      </c>
      <c r="D353" s="9" t="n">
        <f aca="false">IF($B353=0,"",$C353/$B353)</f>
        <v>528.518646245059</v>
      </c>
      <c r="E353" s="33" t="n">
        <v>2024</v>
      </c>
      <c r="F353" s="6" t="n">
        <v>1066717.6</v>
      </c>
      <c r="G353" s="9" t="n">
        <f aca="false">IF($E353=0,"",$F353/$E353)</f>
        <v>527.034387351779</v>
      </c>
      <c r="H353" s="9" t="n">
        <f aca="false">IF(OR($B353=0,$E353=0),"N/A",$G353-$D353)</f>
        <v>-1.48425889328053</v>
      </c>
      <c r="I353" s="33" t="n">
        <f aca="false">$B353-$E353</f>
        <v>0</v>
      </c>
      <c r="J353" s="9" t="n">
        <f aca="false">$F353-$C353</f>
        <v>-3004.1399999999</v>
      </c>
      <c r="K353" s="6" t="str">
        <f aca="false">IF($E353=0,"—",IF($G353&gt;=Comm_Slab2_Start,"0.0325% of sell value","0.0175 paisa per share"))</f>
        <v>0.0325% of sell value</v>
      </c>
      <c r="L353" s="9" t="n">
        <f aca="false">IF($E353=0,0,IF($G353&gt;=Comm_Slab2_Start,$F353*Comm_Slab2_Rate,$E353*Comm_Slab1_Paisa/Paisa_Per_PKR))</f>
        <v>346.68322</v>
      </c>
      <c r="M353" s="9" t="n">
        <f aca="false">$L353*SST_Rate</f>
        <v>45.0688186</v>
      </c>
      <c r="N353" s="9" t="n">
        <f aca="false">$L353+$M353</f>
        <v>391.7520386</v>
      </c>
      <c r="O353" s="9" t="n">
        <f aca="false">$J353-$N353</f>
        <v>-3395.8920385999</v>
      </c>
      <c r="P353" s="10" t="n">
        <f aca="false">IF($C353=0,"N/A",$O353/$C353)</f>
        <v>-0.00317455643988305</v>
      </c>
    </row>
    <row r="354" customFormat="false" ht="15" hidden="false" customHeight="false" outlineLevel="0" collapsed="false">
      <c r="A354" s="6" t="s">
        <v>78</v>
      </c>
      <c r="B354" s="33" t="n">
        <v>3000</v>
      </c>
      <c r="C354" s="33" t="n">
        <v>1578600</v>
      </c>
      <c r="D354" s="9" t="n">
        <f aca="false">IF($B354=0,"",$C354/$B354)</f>
        <v>526.2</v>
      </c>
      <c r="E354" s="33" t="n">
        <v>3000</v>
      </c>
      <c r="F354" s="6" t="n">
        <v>1578000</v>
      </c>
      <c r="G354" s="9" t="n">
        <f aca="false">IF($E354=0,"",$F354/$E354)</f>
        <v>526</v>
      </c>
      <c r="H354" s="9" t="n">
        <f aca="false">IF(OR($B354=0,$E354=0),"N/A",$G354-$D354)</f>
        <v>-0.200000000000045</v>
      </c>
      <c r="I354" s="33" t="n">
        <f aca="false">$B354-$E354</f>
        <v>0</v>
      </c>
      <c r="J354" s="9" t="n">
        <f aca="false">$F354-$C354</f>
        <v>-600</v>
      </c>
      <c r="K354" s="6" t="str">
        <f aca="false">IF($E354=0,"—",IF($G354&gt;=Comm_Slab2_Start,"0.0325% of sell value","0.0175 paisa per share"))</f>
        <v>0.0325% of sell value</v>
      </c>
      <c r="L354" s="9" t="n">
        <f aca="false">IF($E354=0,0,IF($G354&gt;=Comm_Slab2_Start,$F354*Comm_Slab2_Rate,$E354*Comm_Slab1_Paisa/Paisa_Per_PKR))</f>
        <v>512.85</v>
      </c>
      <c r="M354" s="9" t="n">
        <f aca="false">$L354*SST_Rate</f>
        <v>66.6705</v>
      </c>
      <c r="N354" s="9" t="n">
        <f aca="false">$L354+$M354</f>
        <v>579.5205</v>
      </c>
      <c r="O354" s="9" t="n">
        <f aca="false">$J354-$N354</f>
        <v>-1179.5205</v>
      </c>
      <c r="P354" s="10" t="n">
        <f aca="false">IF($C354=0,"N/A",$O354/$C354)</f>
        <v>-0.000747194032687191</v>
      </c>
    </row>
    <row r="355" customFormat="false" ht="15" hidden="false" customHeight="false" outlineLevel="0" collapsed="false">
      <c r="A355" s="29" t="s">
        <v>42</v>
      </c>
      <c r="B355" s="50" t="n">
        <f aca="false">SUM(B350:B354)</f>
        <v>25405</v>
      </c>
      <c r="C355" s="50" t="n">
        <f aca="false">SUM(C350:C354)</f>
        <v>3843124.44</v>
      </c>
      <c r="D355" s="51" t="n">
        <f aca="false">IF($B355=0,"",$C355/$B355)</f>
        <v>151.274333398937</v>
      </c>
      <c r="E355" s="50" t="n">
        <f aca="false">SUM(E350:E354)</f>
        <v>25405</v>
      </c>
      <c r="F355" s="29" t="n">
        <f aca="false">SUM(F350:F354)</f>
        <v>3839233.91</v>
      </c>
      <c r="G355" s="51" t="n">
        <f aca="false">IF($E355=0,"",$F355/$E355)</f>
        <v>151.12119307223</v>
      </c>
      <c r="H355" s="51" t="n">
        <f aca="false">IF(OR($B355=0,$E355=0),"N/A",$G355-$D355)</f>
        <v>-0.15314032670733</v>
      </c>
      <c r="I355" s="50" t="n">
        <f aca="false">$B355-$E355</f>
        <v>0</v>
      </c>
      <c r="J355" s="51" t="n">
        <f aca="false">SUM(J350:J354)</f>
        <v>-3890.5299999999</v>
      </c>
      <c r="K355" s="29"/>
      <c r="L355" s="51" t="n">
        <f aca="false">SUM(L350:L354)</f>
        <v>1189.71239575</v>
      </c>
      <c r="M355" s="51" t="n">
        <f aca="false">SUM(M350:M354)</f>
        <v>154.6626114475</v>
      </c>
      <c r="N355" s="51" t="n">
        <f aca="false">$L355+$M355</f>
        <v>1344.3750071975</v>
      </c>
      <c r="O355" s="51" t="n">
        <f aca="false">SUM(O350:O354)</f>
        <v>-5234.9050071974</v>
      </c>
      <c r="P355" s="52" t="n">
        <f aca="false">IF($C355=0,"N/A",$O355/$C355)</f>
        <v>-0.00136214819190122</v>
      </c>
    </row>
    <row r="358" customFormat="false" ht="19.7" hidden="false" customHeight="false" outlineLevel="0" collapsed="false">
      <c r="A358" s="1" t="s">
        <v>181</v>
      </c>
    </row>
    <row r="359" customFormat="false" ht="15" hidden="false" customHeight="false" outlineLevel="0" collapsed="false">
      <c r="A359" s="2" t="s">
        <v>132</v>
      </c>
      <c r="D359" s="31" t="s">
        <v>133</v>
      </c>
    </row>
    <row r="360" customFormat="false" ht="15" hidden="false" customHeight="false" outlineLevel="0" collapsed="false">
      <c r="A360" s="3" t="s">
        <v>134</v>
      </c>
      <c r="B360" s="27" t="n">
        <v>46276</v>
      </c>
      <c r="D360" s="3" t="s">
        <v>135</v>
      </c>
      <c r="E360" s="47" t="n">
        <f aca="false">C375</f>
        <v>6080555.57</v>
      </c>
    </row>
    <row r="361" customFormat="false" ht="15" hidden="false" customHeight="false" outlineLevel="0" collapsed="false">
      <c r="A361" s="3" t="s">
        <v>136</v>
      </c>
      <c r="B361" s="28" t="s">
        <v>137</v>
      </c>
      <c r="D361" s="3" t="s">
        <v>138</v>
      </c>
      <c r="E361" s="47" t="n">
        <f aca="false">F375</f>
        <v>6086289.05</v>
      </c>
    </row>
    <row r="362" customFormat="false" ht="15" hidden="false" customHeight="false" outlineLevel="0" collapsed="false">
      <c r="A362" s="3" t="s">
        <v>139</v>
      </c>
      <c r="B362" s="28" t="s">
        <v>151</v>
      </c>
      <c r="D362" s="3" t="s">
        <v>11</v>
      </c>
      <c r="E362" s="47" t="n">
        <f aca="false">J375</f>
        <v>5733.48</v>
      </c>
    </row>
    <row r="363" customFormat="false" ht="15" hidden="false" customHeight="false" outlineLevel="0" collapsed="false">
      <c r="A363" s="3" t="s">
        <v>141</v>
      </c>
      <c r="B363" s="28" t="s">
        <v>142</v>
      </c>
      <c r="D363" s="3" t="s">
        <v>13</v>
      </c>
      <c r="E363" s="47" t="n">
        <f aca="false">L375</f>
        <v>1978.04394125</v>
      </c>
    </row>
    <row r="364" customFormat="false" ht="15" hidden="false" customHeight="false" outlineLevel="0" collapsed="false">
      <c r="A364" s="3" t="s">
        <v>143</v>
      </c>
      <c r="B364" s="28" t="s">
        <v>144</v>
      </c>
      <c r="D364" s="3" t="s">
        <v>15</v>
      </c>
      <c r="E364" s="47" t="n">
        <f aca="false">M375</f>
        <v>257.1457123625</v>
      </c>
    </row>
    <row r="365" customFormat="false" ht="15" hidden="false" customHeight="false" outlineLevel="0" collapsed="false">
      <c r="A365" s="3" t="s">
        <v>145</v>
      </c>
      <c r="B365" s="28" t="s">
        <v>182</v>
      </c>
      <c r="D365" s="3" t="s">
        <v>147</v>
      </c>
      <c r="E365" s="47" t="n">
        <f aca="false">N375</f>
        <v>2235.1896536125</v>
      </c>
    </row>
    <row r="366" customFormat="false" ht="15" hidden="false" customHeight="false" outlineLevel="0" collapsed="false">
      <c r="D366" s="3" t="s">
        <v>16</v>
      </c>
      <c r="E366" s="47" t="n">
        <f aca="false">O375</f>
        <v>3498.2903463875</v>
      </c>
    </row>
    <row r="367" customFormat="false" ht="15" hidden="false" customHeight="false" outlineLevel="0" collapsed="false">
      <c r="D367" s="3" t="s">
        <v>8</v>
      </c>
      <c r="E367" s="48" t="n">
        <f aca="false">P375</f>
        <v>0.000575324130519787</v>
      </c>
    </row>
    <row r="368" customFormat="false" ht="15" hidden="false" customHeight="false" outlineLevel="0" collapsed="false">
      <c r="D368" s="3" t="s">
        <v>148</v>
      </c>
      <c r="E368" s="49" t="n">
        <f aca="false">I375</f>
        <v>0</v>
      </c>
    </row>
    <row r="369" customFormat="false" ht="15" hidden="false" customHeight="false" outlineLevel="0" collapsed="false">
      <c r="A369" s="31" t="s">
        <v>149</v>
      </c>
    </row>
    <row r="370" customFormat="false" ht="30" hidden="false" customHeight="true" outlineLevel="0" collapsed="false">
      <c r="A370" s="18" t="s">
        <v>71</v>
      </c>
      <c r="B370" s="18" t="s">
        <v>33</v>
      </c>
      <c r="C370" s="18" t="s">
        <v>36</v>
      </c>
      <c r="D370" s="18" t="s">
        <v>60</v>
      </c>
      <c r="E370" s="18" t="s">
        <v>34</v>
      </c>
      <c r="F370" s="18" t="s">
        <v>37</v>
      </c>
      <c r="G370" s="18" t="s">
        <v>61</v>
      </c>
      <c r="H370" s="18" t="s">
        <v>62</v>
      </c>
      <c r="I370" s="18" t="s">
        <v>35</v>
      </c>
      <c r="J370" s="18" t="s">
        <v>38</v>
      </c>
      <c r="K370" s="18" t="s">
        <v>63</v>
      </c>
      <c r="L370" s="18" t="s">
        <v>39</v>
      </c>
      <c r="M370" s="18" t="s">
        <v>64</v>
      </c>
      <c r="N370" s="18" t="s">
        <v>41</v>
      </c>
      <c r="O370" s="18" t="s">
        <v>7</v>
      </c>
      <c r="P370" s="18" t="s">
        <v>8</v>
      </c>
    </row>
    <row r="371" customFormat="false" ht="15" hidden="false" customHeight="false" outlineLevel="0" collapsed="false">
      <c r="A371" s="6" t="s">
        <v>78</v>
      </c>
      <c r="B371" s="33" t="n">
        <v>2000</v>
      </c>
      <c r="C371" s="33" t="n">
        <v>1052380</v>
      </c>
      <c r="D371" s="9" t="n">
        <f aca="false">IF($B371=0,"",$C371/$B371)</f>
        <v>526.19</v>
      </c>
      <c r="E371" s="33" t="n">
        <v>2000</v>
      </c>
      <c r="F371" s="6" t="n">
        <v>1052385</v>
      </c>
      <c r="G371" s="9" t="n">
        <f aca="false">IF($E371=0,"",$F371/$E371)</f>
        <v>526.1925</v>
      </c>
      <c r="H371" s="9" t="n">
        <f aca="false">IF(OR($B371=0,$E371=0),"N/A",$G371-$D371)</f>
        <v>0.00249999999994088</v>
      </c>
      <c r="I371" s="33" t="n">
        <f aca="false">$B371-$E371</f>
        <v>0</v>
      </c>
      <c r="J371" s="9" t="n">
        <f aca="false">$F371-$C371</f>
        <v>5</v>
      </c>
      <c r="K371" s="6" t="str">
        <f aca="false">IF($E371=0,"—",IF($G371&gt;=Comm_Slab2_Start,"0.0325% of sell value","0.0175 paisa per share"))</f>
        <v>0.0325% of sell value</v>
      </c>
      <c r="L371" s="9" t="n">
        <f aca="false">IF($E371=0,0,IF($G371&gt;=Comm_Slab2_Start,$F371*Comm_Slab2_Rate,$E371*Comm_Slab1_Paisa/Paisa_Per_PKR))</f>
        <v>342.025125</v>
      </c>
      <c r="M371" s="9" t="n">
        <f aca="false">$L371*SST_Rate</f>
        <v>44.46326625</v>
      </c>
      <c r="N371" s="9" t="n">
        <f aca="false">$L371+$M371</f>
        <v>386.48839125</v>
      </c>
      <c r="O371" s="9" t="n">
        <f aca="false">$J371-$N371</f>
        <v>-381.48839125</v>
      </c>
      <c r="P371" s="10" t="n">
        <f aca="false">IF($C371=0,"N/A",$O371/$C371)</f>
        <v>-0.000362500609333131</v>
      </c>
    </row>
    <row r="372" customFormat="false" ht="15" hidden="false" customHeight="false" outlineLevel="0" collapsed="false">
      <c r="A372" s="6" t="s">
        <v>92</v>
      </c>
      <c r="B372" s="33" t="n">
        <v>93</v>
      </c>
      <c r="C372" s="33" t="n">
        <v>29805.57</v>
      </c>
      <c r="D372" s="9" t="n">
        <f aca="false">IF($B372=0,"",$C372/$B372)</f>
        <v>320.49</v>
      </c>
      <c r="E372" s="33" t="n">
        <v>93</v>
      </c>
      <c r="F372" s="6" t="n">
        <v>29839.05</v>
      </c>
      <c r="G372" s="9" t="n">
        <f aca="false">IF($E372=0,"",$F372/$E372)</f>
        <v>320.85</v>
      </c>
      <c r="H372" s="9" t="n">
        <f aca="false">IF(OR($B372=0,$E372=0),"N/A",$G372-$D372)</f>
        <v>0.359999999999957</v>
      </c>
      <c r="I372" s="33" t="n">
        <f aca="false">$B372-$E372</f>
        <v>0</v>
      </c>
      <c r="J372" s="9" t="n">
        <f aca="false">$F372-$C372</f>
        <v>33.4799999999996</v>
      </c>
      <c r="K372" s="6" t="str">
        <f aca="false">IF($E372=0,"—",IF($G372&gt;=Comm_Slab2_Start,"0.0325% of sell value","0.0175 paisa per share"))</f>
        <v>0.0325% of sell value</v>
      </c>
      <c r="L372" s="9" t="n">
        <f aca="false">IF($E372=0,0,IF($G372&gt;=Comm_Slab2_Start,$F372*Comm_Slab2_Rate,$E372*Comm_Slab1_Paisa/Paisa_Per_PKR))</f>
        <v>9.69769125</v>
      </c>
      <c r="M372" s="9" t="n">
        <f aca="false">$L372*SST_Rate</f>
        <v>1.2606998625</v>
      </c>
      <c r="N372" s="9" t="n">
        <f aca="false">$L372+$M372</f>
        <v>10.9583911125</v>
      </c>
      <c r="O372" s="9" t="n">
        <f aca="false">$J372-$N372</f>
        <v>22.5216088874996</v>
      </c>
      <c r="P372" s="10" t="n">
        <f aca="false">IF($C372=0,"N/A",$O372/$C372)</f>
        <v>0.000755617452962636</v>
      </c>
    </row>
    <row r="373" customFormat="false" ht="15" hidden="false" customHeight="false" outlineLevel="0" collapsed="false">
      <c r="A373" s="6" t="s">
        <v>115</v>
      </c>
      <c r="B373" s="33" t="n">
        <v>5000</v>
      </c>
      <c r="C373" s="33" t="n">
        <v>1091550</v>
      </c>
      <c r="D373" s="9" t="n">
        <f aca="false">IF($B373=0,"",$C373/$B373)</f>
        <v>218.31</v>
      </c>
      <c r="E373" s="33" t="n">
        <v>5000</v>
      </c>
      <c r="F373" s="6" t="n">
        <v>1091125</v>
      </c>
      <c r="G373" s="9" t="n">
        <f aca="false">IF($E373=0,"",$F373/$E373)</f>
        <v>218.225</v>
      </c>
      <c r="H373" s="9" t="n">
        <f aca="false">IF(OR($B373=0,$E373=0),"N/A",$G373-$D373)</f>
        <v>-0.085000000000008</v>
      </c>
      <c r="I373" s="33" t="n">
        <f aca="false">$B373-$E373</f>
        <v>0</v>
      </c>
      <c r="J373" s="9" t="n">
        <f aca="false">$F373-$C373</f>
        <v>-425</v>
      </c>
      <c r="K373" s="6" t="str">
        <f aca="false">IF($E373=0,"—",IF($G373&gt;=Comm_Slab2_Start,"0.0325% of sell value","0.0175 paisa per share"))</f>
        <v>0.0325% of sell value</v>
      </c>
      <c r="L373" s="9" t="n">
        <f aca="false">IF($E373=0,0,IF($G373&gt;=Comm_Slab2_Start,$F373*Comm_Slab2_Rate,$E373*Comm_Slab1_Paisa/Paisa_Per_PKR))</f>
        <v>354.615625</v>
      </c>
      <c r="M373" s="9" t="n">
        <f aca="false">$L373*SST_Rate</f>
        <v>46.10003125</v>
      </c>
      <c r="N373" s="9" t="n">
        <f aca="false">$L373+$M373</f>
        <v>400.71565625</v>
      </c>
      <c r="O373" s="9" t="n">
        <f aca="false">$J373-$N373</f>
        <v>-825.71565625</v>
      </c>
      <c r="P373" s="10" t="n">
        <f aca="false">IF($C373=0,"N/A",$O373/$C373)</f>
        <v>-0.000756461597040905</v>
      </c>
    </row>
    <row r="374" customFormat="false" ht="15" hidden="false" customHeight="false" outlineLevel="0" collapsed="false">
      <c r="A374" s="6" t="s">
        <v>74</v>
      </c>
      <c r="B374" s="33" t="n">
        <v>45500</v>
      </c>
      <c r="C374" s="33" t="n">
        <v>3906820</v>
      </c>
      <c r="D374" s="9" t="n">
        <f aca="false">IF($B374=0,"",$C374/$B374)</f>
        <v>85.8641758241758</v>
      </c>
      <c r="E374" s="33" t="n">
        <v>45500</v>
      </c>
      <c r="F374" s="6" t="n">
        <v>3912940</v>
      </c>
      <c r="G374" s="9" t="n">
        <f aca="false">IF($E374=0,"",$F374/$E374)</f>
        <v>85.9986813186813</v>
      </c>
      <c r="H374" s="9" t="n">
        <f aca="false">IF(OR($B374=0,$E374=0),"N/A",$G374-$D374)</f>
        <v>0.13450549450549</v>
      </c>
      <c r="I374" s="33" t="n">
        <f aca="false">$B374-$E374</f>
        <v>0</v>
      </c>
      <c r="J374" s="9" t="n">
        <f aca="false">$F374-$C374</f>
        <v>6120</v>
      </c>
      <c r="K374" s="6" t="str">
        <f aca="false">IF($E374=0,"—",IF($G374&gt;=Comm_Slab2_Start,"0.0325% of sell value","0.0175 paisa per share"))</f>
        <v>0.0325% of sell value</v>
      </c>
      <c r="L374" s="9" t="n">
        <f aca="false">IF($E374=0,0,IF($G374&gt;=Comm_Slab2_Start,$F374*Comm_Slab2_Rate,$E374*Comm_Slab1_Paisa/Paisa_Per_PKR))</f>
        <v>1271.7055</v>
      </c>
      <c r="M374" s="9" t="n">
        <f aca="false">$L374*SST_Rate</f>
        <v>165.321715</v>
      </c>
      <c r="N374" s="9" t="n">
        <f aca="false">$L374+$M374</f>
        <v>1437.027215</v>
      </c>
      <c r="O374" s="9" t="n">
        <f aca="false">$J374-$N374</f>
        <v>4682.972785</v>
      </c>
      <c r="P374" s="10" t="n">
        <f aca="false">IF($C374=0,"N/A",$O374/$C374)</f>
        <v>0.00119866612359924</v>
      </c>
    </row>
    <row r="375" customFormat="false" ht="15" hidden="false" customHeight="false" outlineLevel="0" collapsed="false">
      <c r="A375" s="29" t="s">
        <v>42</v>
      </c>
      <c r="B375" s="50" t="n">
        <f aca="false">SUM(B371:B374)</f>
        <v>52593</v>
      </c>
      <c r="C375" s="50" t="n">
        <f aca="false">SUM(C371:C374)</f>
        <v>6080555.57</v>
      </c>
      <c r="D375" s="51" t="n">
        <f aca="false">IF($B375=0,"",$C375/$B375)</f>
        <v>115.615301846253</v>
      </c>
      <c r="E375" s="50" t="n">
        <f aca="false">SUM(E371:E374)</f>
        <v>52593</v>
      </c>
      <c r="F375" s="29" t="n">
        <f aca="false">SUM(F371:F374)</f>
        <v>6086289.05</v>
      </c>
      <c r="G375" s="51" t="n">
        <f aca="false">IF($E375=0,"",$F375/$E375)</f>
        <v>115.724317875002</v>
      </c>
      <c r="H375" s="51" t="n">
        <f aca="false">IF(OR($B375=0,$E375=0),"N/A",$G375-$D375)</f>
        <v>0.109016028749068</v>
      </c>
      <c r="I375" s="50" t="n">
        <f aca="false">$B375-$E375</f>
        <v>0</v>
      </c>
      <c r="J375" s="51" t="n">
        <f aca="false">SUM(J371:J374)</f>
        <v>5733.48</v>
      </c>
      <c r="K375" s="29"/>
      <c r="L375" s="51" t="n">
        <f aca="false">SUM(L371:L374)</f>
        <v>1978.04394125</v>
      </c>
      <c r="M375" s="51" t="n">
        <f aca="false">SUM(M371:M374)</f>
        <v>257.1457123625</v>
      </c>
      <c r="N375" s="51" t="n">
        <f aca="false">$L375+$M375</f>
        <v>2235.1896536125</v>
      </c>
      <c r="O375" s="51" t="n">
        <f aca="false">SUM(O371:O374)</f>
        <v>3498.2903463875</v>
      </c>
      <c r="P375" s="52" t="n">
        <f aca="false">IF($C375=0,"N/A",$O375/$C375)</f>
        <v>0.000575324130519787</v>
      </c>
    </row>
    <row r="378" customFormat="false" ht="19.7" hidden="false" customHeight="false" outlineLevel="0" collapsed="false">
      <c r="A378" s="1" t="s">
        <v>183</v>
      </c>
    </row>
    <row r="379" customFormat="false" ht="15" hidden="false" customHeight="false" outlineLevel="0" collapsed="false">
      <c r="A379" s="2" t="s">
        <v>132</v>
      </c>
      <c r="D379" s="31" t="s">
        <v>133</v>
      </c>
    </row>
    <row r="380" customFormat="false" ht="15" hidden="false" customHeight="false" outlineLevel="0" collapsed="false">
      <c r="A380" s="3" t="s">
        <v>134</v>
      </c>
      <c r="B380" s="27" t="n">
        <v>46279</v>
      </c>
      <c r="D380" s="3" t="s">
        <v>135</v>
      </c>
      <c r="E380" s="47" t="n">
        <f aca="false">C400</f>
        <v>11322640.42</v>
      </c>
    </row>
    <row r="381" customFormat="false" ht="15" hidden="false" customHeight="false" outlineLevel="0" collapsed="false">
      <c r="A381" s="3" t="s">
        <v>136</v>
      </c>
      <c r="B381" s="28" t="s">
        <v>137</v>
      </c>
      <c r="D381" s="3" t="s">
        <v>138</v>
      </c>
      <c r="E381" s="47" t="n">
        <f aca="false">F400</f>
        <v>11331895</v>
      </c>
    </row>
    <row r="382" customFormat="false" ht="15" hidden="false" customHeight="false" outlineLevel="0" collapsed="false">
      <c r="A382" s="3" t="s">
        <v>139</v>
      </c>
      <c r="B382" s="28" t="s">
        <v>151</v>
      </c>
      <c r="D382" s="3" t="s">
        <v>11</v>
      </c>
      <c r="E382" s="47" t="n">
        <f aca="false">J400</f>
        <v>9254.58000000008</v>
      </c>
    </row>
    <row r="383" customFormat="false" ht="15" hidden="false" customHeight="false" outlineLevel="0" collapsed="false">
      <c r="A383" s="3" t="s">
        <v>141</v>
      </c>
      <c r="B383" s="28" t="s">
        <v>142</v>
      </c>
      <c r="D383" s="3" t="s">
        <v>13</v>
      </c>
      <c r="E383" s="47" t="n">
        <f aca="false">L400</f>
        <v>3682.865875</v>
      </c>
    </row>
    <row r="384" customFormat="false" ht="15" hidden="false" customHeight="false" outlineLevel="0" collapsed="false">
      <c r="A384" s="3" t="s">
        <v>143</v>
      </c>
      <c r="B384" s="28" t="s">
        <v>144</v>
      </c>
      <c r="D384" s="3" t="s">
        <v>15</v>
      </c>
      <c r="E384" s="47" t="n">
        <f aca="false">M400</f>
        <v>478.77256375</v>
      </c>
    </row>
    <row r="385" customFormat="false" ht="15" hidden="false" customHeight="false" outlineLevel="0" collapsed="false">
      <c r="A385" s="3" t="s">
        <v>145</v>
      </c>
      <c r="B385" s="28" t="s">
        <v>184</v>
      </c>
      <c r="D385" s="3" t="s">
        <v>147</v>
      </c>
      <c r="E385" s="47" t="n">
        <f aca="false">N400</f>
        <v>4161.63843875</v>
      </c>
    </row>
    <row r="386" customFormat="false" ht="15" hidden="false" customHeight="false" outlineLevel="0" collapsed="false">
      <c r="D386" s="3" t="s">
        <v>16</v>
      </c>
      <c r="E386" s="47" t="n">
        <f aca="false">O400</f>
        <v>5092.94156125007</v>
      </c>
    </row>
    <row r="387" customFormat="false" ht="15" hidden="false" customHeight="false" outlineLevel="0" collapsed="false">
      <c r="D387" s="3" t="s">
        <v>8</v>
      </c>
      <c r="E387" s="48" t="n">
        <f aca="false">P400</f>
        <v>0.00044980158093284</v>
      </c>
    </row>
    <row r="388" customFormat="false" ht="15" hidden="false" customHeight="false" outlineLevel="0" collapsed="false">
      <c r="D388" s="3" t="s">
        <v>148</v>
      </c>
      <c r="E388" s="49" t="n">
        <f aca="false">I400</f>
        <v>0</v>
      </c>
    </row>
    <row r="389" customFormat="false" ht="15" hidden="false" customHeight="false" outlineLevel="0" collapsed="false">
      <c r="A389" s="31" t="s">
        <v>149</v>
      </c>
    </row>
    <row r="390" customFormat="false" ht="30" hidden="false" customHeight="true" outlineLevel="0" collapsed="false">
      <c r="A390" s="18" t="s">
        <v>71</v>
      </c>
      <c r="B390" s="18" t="s">
        <v>33</v>
      </c>
      <c r="C390" s="18" t="s">
        <v>36</v>
      </c>
      <c r="D390" s="18" t="s">
        <v>60</v>
      </c>
      <c r="E390" s="18" t="s">
        <v>34</v>
      </c>
      <c r="F390" s="18" t="s">
        <v>37</v>
      </c>
      <c r="G390" s="18" t="s">
        <v>61</v>
      </c>
      <c r="H390" s="18" t="s">
        <v>62</v>
      </c>
      <c r="I390" s="18" t="s">
        <v>35</v>
      </c>
      <c r="J390" s="18" t="s">
        <v>38</v>
      </c>
      <c r="K390" s="18" t="s">
        <v>63</v>
      </c>
      <c r="L390" s="18" t="s">
        <v>39</v>
      </c>
      <c r="M390" s="18" t="s">
        <v>64</v>
      </c>
      <c r="N390" s="18" t="s">
        <v>41</v>
      </c>
      <c r="O390" s="18" t="s">
        <v>7</v>
      </c>
      <c r="P390" s="18" t="s">
        <v>8</v>
      </c>
    </row>
    <row r="391" customFormat="false" ht="15" hidden="false" customHeight="false" outlineLevel="0" collapsed="false">
      <c r="A391" s="6" t="s">
        <v>85</v>
      </c>
      <c r="B391" s="33" t="n">
        <v>7500</v>
      </c>
      <c r="C391" s="33" t="n">
        <v>1425000</v>
      </c>
      <c r="D391" s="9" t="n">
        <f aca="false">IF($B391=0,"",$C391/$B391)</f>
        <v>190</v>
      </c>
      <c r="E391" s="33" t="n">
        <v>7500</v>
      </c>
      <c r="F391" s="6" t="n">
        <v>1425750</v>
      </c>
      <c r="G391" s="9" t="n">
        <f aca="false">IF($E391=0,"",$F391/$E391)</f>
        <v>190.1</v>
      </c>
      <c r="H391" s="9" t="n">
        <f aca="false">IF(OR($B391=0,$E391=0),"N/A",$G391-$D391)</f>
        <v>0.0999999999999943</v>
      </c>
      <c r="I391" s="33" t="n">
        <f aca="false">$B391-$E391</f>
        <v>0</v>
      </c>
      <c r="J391" s="9" t="n">
        <f aca="false">$F391-$C391</f>
        <v>750</v>
      </c>
      <c r="K391" s="6" t="str">
        <f aca="false">IF($E391=0,"—",IF($G391&gt;=Comm_Slab2_Start,"0.0325% of sell value","0.0175 paisa per share"))</f>
        <v>0.0325% of sell value</v>
      </c>
      <c r="L391" s="9" t="n">
        <f aca="false">IF($E391=0,0,IF($G391&gt;=Comm_Slab2_Start,$F391*Comm_Slab2_Rate,$E391*Comm_Slab1_Paisa/Paisa_Per_PKR))</f>
        <v>463.36875</v>
      </c>
      <c r="M391" s="9" t="n">
        <f aca="false">$L391*SST_Rate</f>
        <v>60.2379375</v>
      </c>
      <c r="N391" s="9" t="n">
        <f aca="false">$L391+$M391</f>
        <v>523.6066875</v>
      </c>
      <c r="O391" s="9" t="n">
        <f aca="false">$J391-$N391</f>
        <v>226.3933125</v>
      </c>
      <c r="P391" s="10" t="n">
        <f aca="false">IF($C391=0,"N/A",$O391/$C391)</f>
        <v>0.0001588725</v>
      </c>
    </row>
    <row r="392" customFormat="false" ht="15" hidden="false" customHeight="false" outlineLevel="0" collapsed="false">
      <c r="A392" s="6" t="s">
        <v>103</v>
      </c>
      <c r="B392" s="33" t="n">
        <v>10000</v>
      </c>
      <c r="C392" s="33" t="n">
        <v>915850</v>
      </c>
      <c r="D392" s="9" t="n">
        <f aca="false">IF($B392=0,"",$C392/$B392)</f>
        <v>91.585</v>
      </c>
      <c r="E392" s="33" t="n">
        <v>10000</v>
      </c>
      <c r="F392" s="6" t="n">
        <v>915000</v>
      </c>
      <c r="G392" s="9" t="n">
        <f aca="false">IF($E392=0,"",$F392/$E392)</f>
        <v>91.5</v>
      </c>
      <c r="H392" s="9" t="n">
        <f aca="false">IF(OR($B392=0,$E392=0),"N/A",$G392-$D392)</f>
        <v>-0.0849999999999938</v>
      </c>
      <c r="I392" s="33" t="n">
        <f aca="false">$B392-$E392</f>
        <v>0</v>
      </c>
      <c r="J392" s="9" t="n">
        <f aca="false">$F392-$C392</f>
        <v>-850</v>
      </c>
      <c r="K392" s="6" t="str">
        <f aca="false">IF($E392=0,"—",IF($G392&gt;=Comm_Slab2_Start,"0.0325% of sell value","0.0175 paisa per share"))</f>
        <v>0.0325% of sell value</v>
      </c>
      <c r="L392" s="9" t="n">
        <f aca="false">IF($E392=0,0,IF($G392&gt;=Comm_Slab2_Start,$F392*Comm_Slab2_Rate,$E392*Comm_Slab1_Paisa/Paisa_Per_PKR))</f>
        <v>297.375</v>
      </c>
      <c r="M392" s="9" t="n">
        <f aca="false">$L392*SST_Rate</f>
        <v>38.65875</v>
      </c>
      <c r="N392" s="9" t="n">
        <f aca="false">$L392+$M392</f>
        <v>336.03375</v>
      </c>
      <c r="O392" s="9" t="n">
        <f aca="false">$J392-$N392</f>
        <v>-1186.03375</v>
      </c>
      <c r="P392" s="10" t="n">
        <f aca="false">IF($C392=0,"N/A",$O392/$C392)</f>
        <v>-0.00129500873505487</v>
      </c>
    </row>
    <row r="393" customFormat="false" ht="15" hidden="false" customHeight="false" outlineLevel="0" collapsed="false">
      <c r="A393" s="6" t="s">
        <v>121</v>
      </c>
      <c r="B393" s="33" t="n">
        <v>1000</v>
      </c>
      <c r="C393" s="33" t="n">
        <v>545030.42</v>
      </c>
      <c r="D393" s="9" t="n">
        <f aca="false">IF($B393=0,"",$C393/$B393)</f>
        <v>545.03042</v>
      </c>
      <c r="E393" s="33" t="n">
        <v>1000</v>
      </c>
      <c r="F393" s="6" t="n">
        <v>537000</v>
      </c>
      <c r="G393" s="9" t="n">
        <f aca="false">IF($E393=0,"",$F393/$E393)</f>
        <v>537</v>
      </c>
      <c r="H393" s="9" t="n">
        <f aca="false">IF(OR($B393=0,$E393=0),"N/A",$G393-$D393)</f>
        <v>-8.03041999999994</v>
      </c>
      <c r="I393" s="33" t="n">
        <f aca="false">$B393-$E393</f>
        <v>0</v>
      </c>
      <c r="J393" s="9" t="n">
        <f aca="false">$F393-$C393</f>
        <v>-8030.41999999993</v>
      </c>
      <c r="K393" s="6" t="str">
        <f aca="false">IF($E393=0,"—",IF($G393&gt;=Comm_Slab2_Start,"0.0325% of sell value","0.0175 paisa per share"))</f>
        <v>0.0325% of sell value</v>
      </c>
      <c r="L393" s="9" t="n">
        <f aca="false">IF($E393=0,0,IF($G393&gt;=Comm_Slab2_Start,$F393*Comm_Slab2_Rate,$E393*Comm_Slab1_Paisa/Paisa_Per_PKR))</f>
        <v>174.525</v>
      </c>
      <c r="M393" s="9" t="n">
        <f aca="false">$L393*SST_Rate</f>
        <v>22.68825</v>
      </c>
      <c r="N393" s="9" t="n">
        <f aca="false">$L393+$M393</f>
        <v>197.21325</v>
      </c>
      <c r="O393" s="9" t="n">
        <f aca="false">$J393-$N393</f>
        <v>-8227.63324999993</v>
      </c>
      <c r="P393" s="10" t="n">
        <f aca="false">IF($C393=0,"N/A",$O393/$C393)</f>
        <v>-0.0150957321794991</v>
      </c>
    </row>
    <row r="394" customFormat="false" ht="15" hidden="false" customHeight="false" outlineLevel="0" collapsed="false">
      <c r="A394" s="6" t="s">
        <v>78</v>
      </c>
      <c r="B394" s="33" t="n">
        <v>3000</v>
      </c>
      <c r="C394" s="33" t="n">
        <v>1613800</v>
      </c>
      <c r="D394" s="9" t="n">
        <f aca="false">IF($B394=0,"",$C394/$B394)</f>
        <v>537.933333333333</v>
      </c>
      <c r="E394" s="33" t="n">
        <v>3000</v>
      </c>
      <c r="F394" s="6" t="n">
        <v>1624380</v>
      </c>
      <c r="G394" s="9" t="n">
        <f aca="false">IF($E394=0,"",$F394/$E394)</f>
        <v>541.46</v>
      </c>
      <c r="H394" s="9" t="n">
        <f aca="false">IF(OR($B394=0,$E394=0),"N/A",$G394-$D394)</f>
        <v>3.52666666666676</v>
      </c>
      <c r="I394" s="33" t="n">
        <f aca="false">$B394-$E394</f>
        <v>0</v>
      </c>
      <c r="J394" s="9" t="n">
        <f aca="false">$F394-$C394</f>
        <v>10580</v>
      </c>
      <c r="K394" s="6" t="str">
        <f aca="false">IF($E394=0,"—",IF($G394&gt;=Comm_Slab2_Start,"0.0325% of sell value","0.0175 paisa per share"))</f>
        <v>0.0325% of sell value</v>
      </c>
      <c r="L394" s="9" t="n">
        <f aca="false">IF($E394=0,0,IF($G394&gt;=Comm_Slab2_Start,$F394*Comm_Slab2_Rate,$E394*Comm_Slab1_Paisa/Paisa_Per_PKR))</f>
        <v>527.9235</v>
      </c>
      <c r="M394" s="9" t="n">
        <f aca="false">$L394*SST_Rate</f>
        <v>68.630055</v>
      </c>
      <c r="N394" s="9" t="n">
        <f aca="false">$L394+$M394</f>
        <v>596.553555</v>
      </c>
      <c r="O394" s="9" t="n">
        <f aca="false">$J394-$N394</f>
        <v>9983.446445</v>
      </c>
      <c r="P394" s="10" t="n">
        <f aca="false">IF($C394=0,"N/A",$O394/$C394)</f>
        <v>0.00618629721464866</v>
      </c>
    </row>
    <row r="395" customFormat="false" ht="15" hidden="false" customHeight="false" outlineLevel="0" collapsed="false">
      <c r="A395" s="6" t="s">
        <v>125</v>
      </c>
      <c r="B395" s="33" t="n">
        <v>1000</v>
      </c>
      <c r="C395" s="33" t="n">
        <v>319590</v>
      </c>
      <c r="D395" s="9" t="n">
        <f aca="false">IF($B395=0,"",$C395/$B395)</f>
        <v>319.59</v>
      </c>
      <c r="E395" s="33" t="n">
        <v>1000</v>
      </c>
      <c r="F395" s="6" t="n">
        <v>319120</v>
      </c>
      <c r="G395" s="9" t="n">
        <f aca="false">IF($E395=0,"",$F395/$E395)</f>
        <v>319.12</v>
      </c>
      <c r="H395" s="9" t="n">
        <f aca="false">IF(OR($B395=0,$E395=0),"N/A",$G395-$D395)</f>
        <v>-0.46999999999997</v>
      </c>
      <c r="I395" s="33" t="n">
        <f aca="false">$B395-$E395</f>
        <v>0</v>
      </c>
      <c r="J395" s="9" t="n">
        <f aca="false">$F395-$C395</f>
        <v>-470</v>
      </c>
      <c r="K395" s="6" t="str">
        <f aca="false">IF($E395=0,"—",IF($G395&gt;=Comm_Slab2_Start,"0.0325% of sell value","0.0175 paisa per share"))</f>
        <v>0.0325% of sell value</v>
      </c>
      <c r="L395" s="9" t="n">
        <f aca="false">IF($E395=0,0,IF($G395&gt;=Comm_Slab2_Start,$F395*Comm_Slab2_Rate,$E395*Comm_Slab1_Paisa/Paisa_Per_PKR))</f>
        <v>103.714</v>
      </c>
      <c r="M395" s="9" t="n">
        <f aca="false">$L395*SST_Rate</f>
        <v>13.48282</v>
      </c>
      <c r="N395" s="9" t="n">
        <f aca="false">$L395+$M395</f>
        <v>117.19682</v>
      </c>
      <c r="O395" s="9" t="n">
        <f aca="false">$J395-$N395</f>
        <v>-587.19682</v>
      </c>
      <c r="P395" s="10" t="n">
        <f aca="false">IF($C395=0,"N/A",$O395/$C395)</f>
        <v>-0.00183734415970462</v>
      </c>
    </row>
    <row r="396" customFormat="false" ht="15" hidden="false" customHeight="false" outlineLevel="0" collapsed="false">
      <c r="A396" s="6" t="s">
        <v>87</v>
      </c>
      <c r="B396" s="33" t="n">
        <v>12500</v>
      </c>
      <c r="C396" s="33" t="n">
        <v>2763875</v>
      </c>
      <c r="D396" s="9" t="n">
        <f aca="false">IF($B396=0,"",$C396/$B396)</f>
        <v>221.11</v>
      </c>
      <c r="E396" s="33" t="n">
        <v>12500</v>
      </c>
      <c r="F396" s="6" t="n">
        <v>2762965</v>
      </c>
      <c r="G396" s="9" t="n">
        <f aca="false">IF($E396=0,"",$F396/$E396)</f>
        <v>221.0372</v>
      </c>
      <c r="H396" s="9" t="n">
        <f aca="false">IF(OR($B396=0,$E396=0),"N/A",$G396-$D396)</f>
        <v>-0.0728000000000009</v>
      </c>
      <c r="I396" s="33" t="n">
        <f aca="false">$B396-$E396</f>
        <v>0</v>
      </c>
      <c r="J396" s="9" t="n">
        <f aca="false">$F396-$C396</f>
        <v>-910</v>
      </c>
      <c r="K396" s="6" t="str">
        <f aca="false">IF($E396=0,"—",IF($G396&gt;=Comm_Slab2_Start,"0.0325% of sell value","0.0175 paisa per share"))</f>
        <v>0.0325% of sell value</v>
      </c>
      <c r="L396" s="9" t="n">
        <f aca="false">IF($E396=0,0,IF($G396&gt;=Comm_Slab2_Start,$F396*Comm_Slab2_Rate,$E396*Comm_Slab1_Paisa/Paisa_Per_PKR))</f>
        <v>897.963625</v>
      </c>
      <c r="M396" s="9" t="n">
        <f aca="false">$L396*SST_Rate</f>
        <v>116.73527125</v>
      </c>
      <c r="N396" s="9" t="n">
        <f aca="false">$L396+$M396</f>
        <v>1014.69889625</v>
      </c>
      <c r="O396" s="9" t="n">
        <f aca="false">$J396-$N396</f>
        <v>-1924.69889625</v>
      </c>
      <c r="P396" s="10" t="n">
        <f aca="false">IF($C396=0,"N/A",$O396/$C396)</f>
        <v>-0.000696376969381756</v>
      </c>
    </row>
    <row r="397" customFormat="false" ht="15" hidden="false" customHeight="false" outlineLevel="0" collapsed="false">
      <c r="A397" s="6" t="s">
        <v>74</v>
      </c>
      <c r="B397" s="33" t="n">
        <v>26500</v>
      </c>
      <c r="C397" s="33" t="n">
        <v>2266460</v>
      </c>
      <c r="D397" s="9" t="n">
        <f aca="false">IF($B397=0,"",$C397/$B397)</f>
        <v>85.5267924528302</v>
      </c>
      <c r="E397" s="33" t="n">
        <v>26500</v>
      </c>
      <c r="F397" s="6" t="n">
        <v>2272270</v>
      </c>
      <c r="G397" s="9" t="n">
        <f aca="false">IF($E397=0,"",$F397/$E397)</f>
        <v>85.7460377358491</v>
      </c>
      <c r="H397" s="9" t="n">
        <f aca="false">IF(OR($B397=0,$E397=0),"N/A",$G397-$D397)</f>
        <v>0.219245283018864</v>
      </c>
      <c r="I397" s="33" t="n">
        <f aca="false">$B397-$E397</f>
        <v>0</v>
      </c>
      <c r="J397" s="9" t="n">
        <f aca="false">$F397-$C397</f>
        <v>5810</v>
      </c>
      <c r="K397" s="6" t="str">
        <f aca="false">IF($E397=0,"—",IF($G397&gt;=Comm_Slab2_Start,"0.0325% of sell value","0.0175 paisa per share"))</f>
        <v>0.0325% of sell value</v>
      </c>
      <c r="L397" s="9" t="n">
        <f aca="false">IF($E397=0,0,IF($G397&gt;=Comm_Slab2_Start,$F397*Comm_Slab2_Rate,$E397*Comm_Slab1_Paisa/Paisa_Per_PKR))</f>
        <v>738.48775</v>
      </c>
      <c r="M397" s="9" t="n">
        <f aca="false">$L397*SST_Rate</f>
        <v>96.0034075</v>
      </c>
      <c r="N397" s="9" t="n">
        <f aca="false">$L397+$M397</f>
        <v>834.4911575</v>
      </c>
      <c r="O397" s="9" t="n">
        <f aca="false">$J397-$N397</f>
        <v>4975.5088425</v>
      </c>
      <c r="P397" s="10" t="n">
        <f aca="false">IF($C397=0,"N/A",$O397/$C397)</f>
        <v>0.00219527758817716</v>
      </c>
    </row>
    <row r="398" customFormat="false" ht="15" hidden="false" customHeight="false" outlineLevel="0" collapsed="false">
      <c r="A398" s="6" t="s">
        <v>88</v>
      </c>
      <c r="B398" s="33" t="n">
        <v>3500</v>
      </c>
      <c r="C398" s="33" t="n">
        <v>1198720</v>
      </c>
      <c r="D398" s="9" t="n">
        <f aca="false">IF($B398=0,"",$C398/$B398)</f>
        <v>342.491428571429</v>
      </c>
      <c r="E398" s="33" t="n">
        <v>3500</v>
      </c>
      <c r="F398" s="6" t="n">
        <v>1201010</v>
      </c>
      <c r="G398" s="9" t="n">
        <f aca="false">IF($E398=0,"",$F398/$E398)</f>
        <v>343.145714285714</v>
      </c>
      <c r="H398" s="9" t="n">
        <f aca="false">IF(OR($B398=0,$E398=0),"N/A",$G398-$D398)</f>
        <v>0.65428571428572</v>
      </c>
      <c r="I398" s="33" t="n">
        <f aca="false">$B398-$E398</f>
        <v>0</v>
      </c>
      <c r="J398" s="9" t="n">
        <f aca="false">$F398-$C398</f>
        <v>2290</v>
      </c>
      <c r="K398" s="6" t="str">
        <f aca="false">IF($E398=0,"—",IF($G398&gt;=Comm_Slab2_Start,"0.0325% of sell value","0.0175 paisa per share"))</f>
        <v>0.0325% of sell value</v>
      </c>
      <c r="L398" s="9" t="n">
        <f aca="false">IF($E398=0,0,IF($G398&gt;=Comm_Slab2_Start,$F398*Comm_Slab2_Rate,$E398*Comm_Slab1_Paisa/Paisa_Per_PKR))</f>
        <v>390.32825</v>
      </c>
      <c r="M398" s="9" t="n">
        <f aca="false">$L398*SST_Rate</f>
        <v>50.7426725</v>
      </c>
      <c r="N398" s="9" t="n">
        <f aca="false">$L398+$M398</f>
        <v>441.0709225</v>
      </c>
      <c r="O398" s="9" t="n">
        <f aca="false">$J398-$N398</f>
        <v>1848.9290775</v>
      </c>
      <c r="P398" s="10" t="n">
        <f aca="false">IF($C398=0,"N/A",$O398/$C398)</f>
        <v>0.00154241947869394</v>
      </c>
    </row>
    <row r="399" customFormat="false" ht="15" hidden="false" customHeight="false" outlineLevel="0" collapsed="false">
      <c r="A399" s="6" t="s">
        <v>119</v>
      </c>
      <c r="B399" s="33" t="n">
        <v>3500</v>
      </c>
      <c r="C399" s="33" t="n">
        <v>274315</v>
      </c>
      <c r="D399" s="9" t="n">
        <f aca="false">IF($B399=0,"",$C399/$B399)</f>
        <v>78.3757142857143</v>
      </c>
      <c r="E399" s="33" t="n">
        <v>3500</v>
      </c>
      <c r="F399" s="6" t="n">
        <v>274400</v>
      </c>
      <c r="G399" s="9" t="n">
        <f aca="false">IF($E399=0,"",$F399/$E399)</f>
        <v>78.4</v>
      </c>
      <c r="H399" s="9" t="n">
        <f aca="false">IF(OR($B399=0,$E399=0),"N/A",$G399-$D399)</f>
        <v>0.0242857142857247</v>
      </c>
      <c r="I399" s="33" t="n">
        <f aca="false">$B399-$E399</f>
        <v>0</v>
      </c>
      <c r="J399" s="9" t="n">
        <f aca="false">$F399-$C399</f>
        <v>85</v>
      </c>
      <c r="K399" s="6" t="str">
        <f aca="false">IF($E399=0,"—",IF($G399&gt;=Comm_Slab2_Start,"0.0325% of sell value","0.0175 paisa per share"))</f>
        <v>0.0325% of sell value</v>
      </c>
      <c r="L399" s="9" t="n">
        <f aca="false">IF($E399=0,0,IF($G399&gt;=Comm_Slab2_Start,$F399*Comm_Slab2_Rate,$E399*Comm_Slab1_Paisa/Paisa_Per_PKR))</f>
        <v>89.18</v>
      </c>
      <c r="M399" s="9" t="n">
        <f aca="false">$L399*SST_Rate</f>
        <v>11.5934</v>
      </c>
      <c r="N399" s="9" t="n">
        <f aca="false">$L399+$M399</f>
        <v>100.7734</v>
      </c>
      <c r="O399" s="9" t="n">
        <f aca="false">$J399-$N399</f>
        <v>-15.7734</v>
      </c>
      <c r="P399" s="10" t="n">
        <f aca="false">IF($C399=0,"N/A",$O399/$C399)</f>
        <v>-5.75010480651805E-005</v>
      </c>
    </row>
    <row r="400" customFormat="false" ht="15" hidden="false" customHeight="false" outlineLevel="0" collapsed="false">
      <c r="A400" s="29" t="s">
        <v>42</v>
      </c>
      <c r="B400" s="50" t="n">
        <f aca="false">SUM(B391:B399)</f>
        <v>68500</v>
      </c>
      <c r="C400" s="50" t="n">
        <f aca="false">SUM(C391:C399)</f>
        <v>11322640.42</v>
      </c>
      <c r="D400" s="51" t="n">
        <f aca="false">IF($B400=0,"",$C400/$B400)</f>
        <v>165.294020729927</v>
      </c>
      <c r="E400" s="50" t="n">
        <f aca="false">SUM(E391:E399)</f>
        <v>68500</v>
      </c>
      <c r="F400" s="29" t="n">
        <f aca="false">SUM(F391:F399)</f>
        <v>11331895</v>
      </c>
      <c r="G400" s="51" t="n">
        <f aca="false">IF($E400=0,"",$F400/$E400)</f>
        <v>165.429124087591</v>
      </c>
      <c r="H400" s="51" t="n">
        <f aca="false">IF(OR($B400=0,$E400=0),"N/A",$G400-$D400)</f>
        <v>0.135103357664235</v>
      </c>
      <c r="I400" s="50" t="n">
        <f aca="false">$B400-$E400</f>
        <v>0</v>
      </c>
      <c r="J400" s="51" t="n">
        <f aca="false">SUM(J391:J399)</f>
        <v>9254.58000000008</v>
      </c>
      <c r="K400" s="29"/>
      <c r="L400" s="51" t="n">
        <f aca="false">SUM(L391:L399)</f>
        <v>3682.865875</v>
      </c>
      <c r="M400" s="51" t="n">
        <f aca="false">SUM(M391:M399)</f>
        <v>478.77256375</v>
      </c>
      <c r="N400" s="51" t="n">
        <f aca="false">$L400+$M400</f>
        <v>4161.63843875</v>
      </c>
      <c r="O400" s="51" t="n">
        <f aca="false">SUM(O391:O399)</f>
        <v>5092.94156125007</v>
      </c>
      <c r="P400" s="52" t="n">
        <f aca="false">IF($C400=0,"N/A",$O400/$C400)</f>
        <v>0.00044980158093284</v>
      </c>
    </row>
    <row r="403" customFormat="false" ht="19.7" hidden="false" customHeight="false" outlineLevel="0" collapsed="false">
      <c r="A403" s="1" t="s">
        <v>185</v>
      </c>
    </row>
    <row r="404" customFormat="false" ht="15" hidden="false" customHeight="false" outlineLevel="0" collapsed="false">
      <c r="A404" s="2" t="s">
        <v>132</v>
      </c>
      <c r="D404" s="31" t="s">
        <v>133</v>
      </c>
    </row>
    <row r="405" customFormat="false" ht="15" hidden="false" customHeight="false" outlineLevel="0" collapsed="false">
      <c r="A405" s="3" t="s">
        <v>134</v>
      </c>
      <c r="B405" s="27" t="n">
        <v>46280</v>
      </c>
      <c r="D405" s="3" t="s">
        <v>135</v>
      </c>
      <c r="E405" s="47" t="n">
        <f aca="false">C418</f>
        <v>2928580</v>
      </c>
    </row>
    <row r="406" customFormat="false" ht="15" hidden="false" customHeight="false" outlineLevel="0" collapsed="false">
      <c r="A406" s="3" t="s">
        <v>136</v>
      </c>
      <c r="B406" s="28" t="s">
        <v>137</v>
      </c>
      <c r="D406" s="3" t="s">
        <v>138</v>
      </c>
      <c r="E406" s="47" t="n">
        <f aca="false">F418</f>
        <v>2930140</v>
      </c>
    </row>
    <row r="407" customFormat="false" ht="15" hidden="false" customHeight="false" outlineLevel="0" collapsed="false">
      <c r="A407" s="3" t="s">
        <v>139</v>
      </c>
      <c r="B407" s="28" t="s">
        <v>140</v>
      </c>
      <c r="D407" s="3" t="s">
        <v>11</v>
      </c>
      <c r="E407" s="47" t="n">
        <f aca="false">J418</f>
        <v>1560</v>
      </c>
    </row>
    <row r="408" customFormat="false" ht="15" hidden="false" customHeight="false" outlineLevel="0" collapsed="false">
      <c r="A408" s="3" t="s">
        <v>141</v>
      </c>
      <c r="B408" s="28" t="s">
        <v>142</v>
      </c>
      <c r="D408" s="3" t="s">
        <v>13</v>
      </c>
      <c r="E408" s="47" t="n">
        <f aca="false">L418</f>
        <v>952.2955</v>
      </c>
    </row>
    <row r="409" customFormat="false" ht="15" hidden="false" customHeight="false" outlineLevel="0" collapsed="false">
      <c r="A409" s="3" t="s">
        <v>143</v>
      </c>
      <c r="B409" s="28" t="s">
        <v>144</v>
      </c>
      <c r="D409" s="3" t="s">
        <v>15</v>
      </c>
      <c r="E409" s="47" t="n">
        <f aca="false">M418</f>
        <v>123.798415</v>
      </c>
    </row>
    <row r="410" customFormat="false" ht="15" hidden="false" customHeight="false" outlineLevel="0" collapsed="false">
      <c r="A410" s="3" t="s">
        <v>145</v>
      </c>
      <c r="B410" s="28" t="s">
        <v>186</v>
      </c>
      <c r="D410" s="3" t="s">
        <v>147</v>
      </c>
      <c r="E410" s="47" t="n">
        <f aca="false">N418</f>
        <v>1076.093915</v>
      </c>
    </row>
    <row r="411" customFormat="false" ht="15" hidden="false" customHeight="false" outlineLevel="0" collapsed="false">
      <c r="D411" s="3" t="s">
        <v>16</v>
      </c>
      <c r="E411" s="47" t="n">
        <f aca="false">O418</f>
        <v>483.906085</v>
      </c>
    </row>
    <row r="412" customFormat="false" ht="15" hidden="false" customHeight="false" outlineLevel="0" collapsed="false">
      <c r="D412" s="3" t="s">
        <v>8</v>
      </c>
      <c r="E412" s="48" t="n">
        <f aca="false">P418</f>
        <v>0.00016523574052954</v>
      </c>
    </row>
    <row r="413" customFormat="false" ht="15" hidden="false" customHeight="false" outlineLevel="0" collapsed="false">
      <c r="D413" s="3" t="s">
        <v>148</v>
      </c>
      <c r="E413" s="49" t="n">
        <f aca="false">I418</f>
        <v>0</v>
      </c>
    </row>
    <row r="414" customFormat="false" ht="15" hidden="false" customHeight="false" outlineLevel="0" collapsed="false">
      <c r="A414" s="31" t="s">
        <v>149</v>
      </c>
    </row>
    <row r="415" customFormat="false" ht="30" hidden="false" customHeight="true" outlineLevel="0" collapsed="false">
      <c r="A415" s="18" t="s">
        <v>71</v>
      </c>
      <c r="B415" s="18" t="s">
        <v>33</v>
      </c>
      <c r="C415" s="18" t="s">
        <v>36</v>
      </c>
      <c r="D415" s="18" t="s">
        <v>60</v>
      </c>
      <c r="E415" s="18" t="s">
        <v>34</v>
      </c>
      <c r="F415" s="18" t="s">
        <v>37</v>
      </c>
      <c r="G415" s="18" t="s">
        <v>61</v>
      </c>
      <c r="H415" s="18" t="s">
        <v>62</v>
      </c>
      <c r="I415" s="18" t="s">
        <v>35</v>
      </c>
      <c r="J415" s="18" t="s">
        <v>38</v>
      </c>
      <c r="K415" s="18" t="s">
        <v>63</v>
      </c>
      <c r="L415" s="18" t="s">
        <v>39</v>
      </c>
      <c r="M415" s="18" t="s">
        <v>64</v>
      </c>
      <c r="N415" s="18" t="s">
        <v>41</v>
      </c>
      <c r="O415" s="18" t="s">
        <v>7</v>
      </c>
      <c r="P415" s="18" t="s">
        <v>8</v>
      </c>
    </row>
    <row r="416" customFormat="false" ht="15" hidden="false" customHeight="false" outlineLevel="0" collapsed="false">
      <c r="A416" s="6" t="s">
        <v>78</v>
      </c>
      <c r="B416" s="33" t="n">
        <v>3000</v>
      </c>
      <c r="C416" s="33" t="n">
        <v>1615980</v>
      </c>
      <c r="D416" s="9" t="n">
        <f aca="false">IF($B416=0,"",$C416/$B416)</f>
        <v>538.66</v>
      </c>
      <c r="E416" s="33" t="n">
        <v>3000</v>
      </c>
      <c r="F416" s="6" t="n">
        <v>1614090</v>
      </c>
      <c r="G416" s="9" t="n">
        <f aca="false">IF($E416=0,"",$F416/$E416)</f>
        <v>538.03</v>
      </c>
      <c r="H416" s="9" t="n">
        <f aca="false">IF(OR($B416=0,$E416=0),"N/A",$G416-$D416)</f>
        <v>-0.629999999999996</v>
      </c>
      <c r="I416" s="33" t="n">
        <f aca="false">$B416-$E416</f>
        <v>0</v>
      </c>
      <c r="J416" s="9" t="n">
        <f aca="false">$F416-$C416</f>
        <v>-1890</v>
      </c>
      <c r="K416" s="6" t="str">
        <f aca="false">IF($E416=0,"—",IF($G416&gt;=Comm_Slab2_Start,"0.0325% of sell value","0.0175 paisa per share"))</f>
        <v>0.0325% of sell value</v>
      </c>
      <c r="L416" s="9" t="n">
        <f aca="false">IF($E416=0,0,IF($G416&gt;=Comm_Slab2_Start,$F416*Comm_Slab2_Rate,$E416*Comm_Slab1_Paisa/Paisa_Per_PKR))</f>
        <v>524.57925</v>
      </c>
      <c r="M416" s="9" t="n">
        <f aca="false">$L416*SST_Rate</f>
        <v>68.1953025</v>
      </c>
      <c r="N416" s="9" t="n">
        <f aca="false">$L416+$M416</f>
        <v>592.7745525</v>
      </c>
      <c r="O416" s="9" t="n">
        <f aca="false">$J416-$N416</f>
        <v>-2482.7745525</v>
      </c>
      <c r="P416" s="10" t="n">
        <f aca="false">IF($C416=0,"N/A",$O416/$C416)</f>
        <v>-0.00153638940611889</v>
      </c>
    </row>
    <row r="417" customFormat="false" ht="15" hidden="false" customHeight="false" outlineLevel="0" collapsed="false">
      <c r="A417" s="6" t="s">
        <v>74</v>
      </c>
      <c r="B417" s="33" t="n">
        <v>15000</v>
      </c>
      <c r="C417" s="33" t="n">
        <v>1312600</v>
      </c>
      <c r="D417" s="9" t="n">
        <f aca="false">IF($B417=0,"",$C417/$B417)</f>
        <v>87.5066666666667</v>
      </c>
      <c r="E417" s="33" t="n">
        <v>15000</v>
      </c>
      <c r="F417" s="6" t="n">
        <v>1316050</v>
      </c>
      <c r="G417" s="9" t="n">
        <f aca="false">IF($E417=0,"",$F417/$E417)</f>
        <v>87.7366666666667</v>
      </c>
      <c r="H417" s="9" t="n">
        <f aca="false">IF(OR($B417=0,$E417=0),"N/A",$G417-$D417)</f>
        <v>0.230000000000004</v>
      </c>
      <c r="I417" s="33" t="n">
        <f aca="false">$B417-$E417</f>
        <v>0</v>
      </c>
      <c r="J417" s="9" t="n">
        <f aca="false">$F417-$C417</f>
        <v>3450</v>
      </c>
      <c r="K417" s="6" t="str">
        <f aca="false">IF($E417=0,"—",IF($G417&gt;=Comm_Slab2_Start,"0.0325% of sell value","0.0175 paisa per share"))</f>
        <v>0.0325% of sell value</v>
      </c>
      <c r="L417" s="9" t="n">
        <f aca="false">IF($E417=0,0,IF($G417&gt;=Comm_Slab2_Start,$F417*Comm_Slab2_Rate,$E417*Comm_Slab1_Paisa/Paisa_Per_PKR))</f>
        <v>427.71625</v>
      </c>
      <c r="M417" s="9" t="n">
        <f aca="false">$L417*SST_Rate</f>
        <v>55.6031125</v>
      </c>
      <c r="N417" s="9" t="n">
        <f aca="false">$L417+$M417</f>
        <v>483.3193625</v>
      </c>
      <c r="O417" s="9" t="n">
        <f aca="false">$J417-$N417</f>
        <v>2966.6806375</v>
      </c>
      <c r="P417" s="10" t="n">
        <f aca="false">IF($C417=0,"N/A",$O417/$C417)</f>
        <v>0.00226015590240744</v>
      </c>
    </row>
    <row r="418" customFormat="false" ht="15" hidden="false" customHeight="false" outlineLevel="0" collapsed="false">
      <c r="A418" s="29" t="s">
        <v>42</v>
      </c>
      <c r="B418" s="50" t="n">
        <f aca="false">SUM(B416:B417)</f>
        <v>18000</v>
      </c>
      <c r="C418" s="50" t="n">
        <f aca="false">SUM(C416:C417)</f>
        <v>2928580</v>
      </c>
      <c r="D418" s="51" t="n">
        <f aca="false">IF($B418=0,"",$C418/$B418)</f>
        <v>162.698888888889</v>
      </c>
      <c r="E418" s="50" t="n">
        <f aca="false">SUM(E416:E417)</f>
        <v>18000</v>
      </c>
      <c r="F418" s="29" t="n">
        <f aca="false">SUM(F416:F417)</f>
        <v>2930140</v>
      </c>
      <c r="G418" s="51" t="n">
        <f aca="false">IF($E418=0,"",$F418/$E418)</f>
        <v>162.785555555556</v>
      </c>
      <c r="H418" s="51" t="n">
        <f aca="false">IF(OR($B418=0,$E418=0),"N/A",$G418-$D418)</f>
        <v>0.0866666666666731</v>
      </c>
      <c r="I418" s="50" t="n">
        <f aca="false">$B418-$E418</f>
        <v>0</v>
      </c>
      <c r="J418" s="51" t="n">
        <f aca="false">SUM(J416:J417)</f>
        <v>1560</v>
      </c>
      <c r="K418" s="29"/>
      <c r="L418" s="51" t="n">
        <f aca="false">SUM(L416:L417)</f>
        <v>952.2955</v>
      </c>
      <c r="M418" s="51" t="n">
        <f aca="false">SUM(M416:M417)</f>
        <v>123.798415</v>
      </c>
      <c r="N418" s="51" t="n">
        <f aca="false">$L418+$M418</f>
        <v>1076.093915</v>
      </c>
      <c r="O418" s="51" t="n">
        <f aca="false">SUM(O416:O417)</f>
        <v>483.906085</v>
      </c>
      <c r="P418" s="52" t="n">
        <f aca="false">IF($C418=0,"N/A",$O418/$C418)</f>
        <v>0.00016523574052954</v>
      </c>
    </row>
    <row r="421" customFormat="false" ht="19.7" hidden="false" customHeight="false" outlineLevel="0" collapsed="false">
      <c r="A421" s="1" t="s">
        <v>187</v>
      </c>
    </row>
    <row r="422" customFormat="false" ht="15" hidden="false" customHeight="false" outlineLevel="0" collapsed="false">
      <c r="A422" s="2" t="s">
        <v>132</v>
      </c>
      <c r="D422" s="31" t="s">
        <v>133</v>
      </c>
    </row>
    <row r="423" customFormat="false" ht="15" hidden="false" customHeight="false" outlineLevel="0" collapsed="false">
      <c r="A423" s="3" t="s">
        <v>134</v>
      </c>
      <c r="B423" s="27" t="n">
        <v>46281</v>
      </c>
      <c r="D423" s="3" t="s">
        <v>135</v>
      </c>
      <c r="E423" s="47" t="n">
        <f aca="false">C442</f>
        <v>8237815.65</v>
      </c>
    </row>
    <row r="424" customFormat="false" ht="15" hidden="false" customHeight="false" outlineLevel="0" collapsed="false">
      <c r="A424" s="3" t="s">
        <v>136</v>
      </c>
      <c r="B424" s="28" t="s">
        <v>137</v>
      </c>
      <c r="D424" s="3" t="s">
        <v>138</v>
      </c>
      <c r="E424" s="47" t="n">
        <f aca="false">F442</f>
        <v>8236390</v>
      </c>
    </row>
    <row r="425" customFormat="false" ht="15" hidden="false" customHeight="false" outlineLevel="0" collapsed="false">
      <c r="A425" s="3" t="s">
        <v>139</v>
      </c>
      <c r="B425" s="28" t="s">
        <v>151</v>
      </c>
      <c r="D425" s="3" t="s">
        <v>11</v>
      </c>
      <c r="E425" s="47" t="n">
        <f aca="false">J442</f>
        <v>-1425.64999999999</v>
      </c>
    </row>
    <row r="426" customFormat="false" ht="15" hidden="false" customHeight="false" outlineLevel="0" collapsed="false">
      <c r="A426" s="3" t="s">
        <v>141</v>
      </c>
      <c r="B426" s="28" t="s">
        <v>142</v>
      </c>
      <c r="D426" s="3" t="s">
        <v>13</v>
      </c>
      <c r="E426" s="47" t="n">
        <f aca="false">L442</f>
        <v>2676.82675</v>
      </c>
    </row>
    <row r="427" customFormat="false" ht="15" hidden="false" customHeight="false" outlineLevel="0" collapsed="false">
      <c r="A427" s="3" t="s">
        <v>143</v>
      </c>
      <c r="B427" s="28" t="s">
        <v>144</v>
      </c>
      <c r="D427" s="3" t="s">
        <v>15</v>
      </c>
      <c r="E427" s="47" t="n">
        <f aca="false">M442</f>
        <v>347.9874775</v>
      </c>
    </row>
    <row r="428" customFormat="false" ht="15" hidden="false" customHeight="false" outlineLevel="0" collapsed="false">
      <c r="A428" s="3" t="s">
        <v>145</v>
      </c>
      <c r="B428" s="28" t="s">
        <v>188</v>
      </c>
      <c r="D428" s="3" t="s">
        <v>147</v>
      </c>
      <c r="E428" s="47" t="n">
        <f aca="false">N442</f>
        <v>3024.8142275</v>
      </c>
    </row>
    <row r="429" customFormat="false" ht="15" hidden="false" customHeight="false" outlineLevel="0" collapsed="false">
      <c r="D429" s="3" t="s">
        <v>16</v>
      </c>
      <c r="E429" s="47" t="n">
        <f aca="false">O442</f>
        <v>-4450.46422749999</v>
      </c>
    </row>
    <row r="430" customFormat="false" ht="15" hidden="false" customHeight="false" outlineLevel="0" collapsed="false">
      <c r="D430" s="3" t="s">
        <v>8</v>
      </c>
      <c r="E430" s="48" t="n">
        <f aca="false">P442</f>
        <v>-0.000540248096896899</v>
      </c>
    </row>
    <row r="431" customFormat="false" ht="15" hidden="false" customHeight="false" outlineLevel="0" collapsed="false">
      <c r="D431" s="3" t="s">
        <v>148</v>
      </c>
      <c r="E431" s="49" t="n">
        <f aca="false">I442</f>
        <v>0</v>
      </c>
    </row>
    <row r="432" customFormat="false" ht="15" hidden="false" customHeight="false" outlineLevel="0" collapsed="false">
      <c r="A432" s="31" t="s">
        <v>149</v>
      </c>
    </row>
    <row r="433" customFormat="false" ht="30" hidden="false" customHeight="true" outlineLevel="0" collapsed="false">
      <c r="A433" s="18" t="s">
        <v>71</v>
      </c>
      <c r="B433" s="18" t="s">
        <v>33</v>
      </c>
      <c r="C433" s="18" t="s">
        <v>36</v>
      </c>
      <c r="D433" s="18" t="s">
        <v>60</v>
      </c>
      <c r="E433" s="18" t="s">
        <v>34</v>
      </c>
      <c r="F433" s="18" t="s">
        <v>37</v>
      </c>
      <c r="G433" s="18" t="s">
        <v>61</v>
      </c>
      <c r="H433" s="18" t="s">
        <v>62</v>
      </c>
      <c r="I433" s="18" t="s">
        <v>35</v>
      </c>
      <c r="J433" s="18" t="s">
        <v>38</v>
      </c>
      <c r="K433" s="18" t="s">
        <v>63</v>
      </c>
      <c r="L433" s="18" t="s">
        <v>39</v>
      </c>
      <c r="M433" s="18" t="s">
        <v>64</v>
      </c>
      <c r="N433" s="18" t="s">
        <v>41</v>
      </c>
      <c r="O433" s="18" t="s">
        <v>7</v>
      </c>
      <c r="P433" s="18" t="s">
        <v>8</v>
      </c>
    </row>
    <row r="434" customFormat="false" ht="15" hidden="false" customHeight="false" outlineLevel="0" collapsed="false">
      <c r="A434" s="6" t="s">
        <v>85</v>
      </c>
      <c r="B434" s="33" t="n">
        <v>500</v>
      </c>
      <c r="C434" s="33" t="n">
        <v>95325</v>
      </c>
      <c r="D434" s="9" t="n">
        <f aca="false">IF($B434=0,"",$C434/$B434)</f>
        <v>190.65</v>
      </c>
      <c r="E434" s="33" t="n">
        <v>500</v>
      </c>
      <c r="F434" s="6" t="n">
        <v>95505</v>
      </c>
      <c r="G434" s="9" t="n">
        <f aca="false">IF($E434=0,"",$F434/$E434)</f>
        <v>191.01</v>
      </c>
      <c r="H434" s="9" t="n">
        <f aca="false">IF(OR($B434=0,$E434=0),"N/A",$G434-$D434)</f>
        <v>0.359999999999985</v>
      </c>
      <c r="I434" s="33" t="n">
        <f aca="false">$B434-$E434</f>
        <v>0</v>
      </c>
      <c r="J434" s="9" t="n">
        <f aca="false">$F434-$C434</f>
        <v>180</v>
      </c>
      <c r="K434" s="6" t="str">
        <f aca="false">IF($E434=0,"—",IF($G434&gt;=Comm_Slab2_Start,"0.0325% of sell value","0.0175 paisa per share"))</f>
        <v>0.0325% of sell value</v>
      </c>
      <c r="L434" s="9" t="n">
        <f aca="false">IF($E434=0,0,IF($G434&gt;=Comm_Slab2_Start,$F434*Comm_Slab2_Rate,$E434*Comm_Slab1_Paisa/Paisa_Per_PKR))</f>
        <v>31.039125</v>
      </c>
      <c r="M434" s="9" t="n">
        <f aca="false">$L434*SST_Rate</f>
        <v>4.03508625</v>
      </c>
      <c r="N434" s="9" t="n">
        <f aca="false">$L434+$M434</f>
        <v>35.07421125</v>
      </c>
      <c r="O434" s="9" t="n">
        <f aca="false">$J434-$N434</f>
        <v>144.92578875</v>
      </c>
      <c r="P434" s="10" t="n">
        <f aca="false">IF($C434=0,"N/A",$O434/$C434)</f>
        <v>0.00152033347757671</v>
      </c>
    </row>
    <row r="435" customFormat="false" ht="15" hidden="false" customHeight="false" outlineLevel="0" collapsed="false">
      <c r="A435" s="6" t="s">
        <v>123</v>
      </c>
      <c r="B435" s="33" t="n">
        <v>1000</v>
      </c>
      <c r="C435" s="33" t="n">
        <v>413500</v>
      </c>
      <c r="D435" s="9" t="n">
        <f aca="false">IF($B435=0,"",$C435/$B435)</f>
        <v>413.5</v>
      </c>
      <c r="E435" s="33" t="n">
        <v>1000</v>
      </c>
      <c r="F435" s="6" t="n">
        <v>413035</v>
      </c>
      <c r="G435" s="9" t="n">
        <f aca="false">IF($E435=0,"",$F435/$E435)</f>
        <v>413.035</v>
      </c>
      <c r="H435" s="9" t="n">
        <f aca="false">IF(OR($B435=0,$E435=0),"N/A",$G435-$D435)</f>
        <v>-0.464999999999975</v>
      </c>
      <c r="I435" s="33" t="n">
        <f aca="false">$B435-$E435</f>
        <v>0</v>
      </c>
      <c r="J435" s="9" t="n">
        <f aca="false">$F435-$C435</f>
        <v>-465</v>
      </c>
      <c r="K435" s="6" t="str">
        <f aca="false">IF($E435=0,"—",IF($G435&gt;=Comm_Slab2_Start,"0.0325% of sell value","0.0175 paisa per share"))</f>
        <v>0.0325% of sell value</v>
      </c>
      <c r="L435" s="9" t="n">
        <f aca="false">IF($E435=0,0,IF($G435&gt;=Comm_Slab2_Start,$F435*Comm_Slab2_Rate,$E435*Comm_Slab1_Paisa/Paisa_Per_PKR))</f>
        <v>134.236375</v>
      </c>
      <c r="M435" s="9" t="n">
        <f aca="false">$L435*SST_Rate</f>
        <v>17.45072875</v>
      </c>
      <c r="N435" s="9" t="n">
        <f aca="false">$L435+$M435</f>
        <v>151.68710375</v>
      </c>
      <c r="O435" s="9" t="n">
        <f aca="false">$J435-$N435</f>
        <v>-616.68710375</v>
      </c>
      <c r="P435" s="10" t="n">
        <f aca="false">IF($C435=0,"N/A",$O435/$C435)</f>
        <v>-0.00149138356408706</v>
      </c>
    </row>
    <row r="436" customFormat="false" ht="15" hidden="false" customHeight="false" outlineLevel="0" collapsed="false">
      <c r="A436" s="6" t="s">
        <v>103</v>
      </c>
      <c r="B436" s="33" t="n">
        <v>2000</v>
      </c>
      <c r="C436" s="33" t="n">
        <v>186190.65</v>
      </c>
      <c r="D436" s="9" t="n">
        <f aca="false">IF($B436=0,"",$C436/$B436)</f>
        <v>93.095325</v>
      </c>
      <c r="E436" s="33" t="n">
        <v>2000</v>
      </c>
      <c r="F436" s="6" t="n">
        <v>186000</v>
      </c>
      <c r="G436" s="9" t="n">
        <f aca="false">IF($E436=0,"",$F436/$E436)</f>
        <v>93</v>
      </c>
      <c r="H436" s="9" t="n">
        <f aca="false">IF(OR($B436=0,$E436=0),"N/A",$G436-$D436)</f>
        <v>-0.0953250000000026</v>
      </c>
      <c r="I436" s="33" t="n">
        <f aca="false">$B436-$E436</f>
        <v>0</v>
      </c>
      <c r="J436" s="9" t="n">
        <f aca="false">$F436-$C436</f>
        <v>-190.649999999994</v>
      </c>
      <c r="K436" s="6" t="str">
        <f aca="false">IF($E436=0,"—",IF($G436&gt;=Comm_Slab2_Start,"0.0325% of sell value","0.0175 paisa per share"))</f>
        <v>0.0325% of sell value</v>
      </c>
      <c r="L436" s="9" t="n">
        <f aca="false">IF($E436=0,0,IF($G436&gt;=Comm_Slab2_Start,$F436*Comm_Slab2_Rate,$E436*Comm_Slab1_Paisa/Paisa_Per_PKR))</f>
        <v>60.45</v>
      </c>
      <c r="M436" s="9" t="n">
        <f aca="false">$L436*SST_Rate</f>
        <v>7.8585</v>
      </c>
      <c r="N436" s="9" t="n">
        <f aca="false">$L436+$M436</f>
        <v>68.3085</v>
      </c>
      <c r="O436" s="9" t="n">
        <f aca="false">$J436-$N436</f>
        <v>-258.958499999994</v>
      </c>
      <c r="P436" s="10" t="n">
        <f aca="false">IF($C436=0,"N/A",$O436/$C436)</f>
        <v>-0.00139082440498486</v>
      </c>
    </row>
    <row r="437" customFormat="false" ht="15" hidden="false" customHeight="false" outlineLevel="0" collapsed="false">
      <c r="A437" s="6" t="s">
        <v>126</v>
      </c>
      <c r="B437" s="33" t="n">
        <v>15000</v>
      </c>
      <c r="C437" s="33" t="n">
        <v>2569275</v>
      </c>
      <c r="D437" s="9" t="n">
        <f aca="false">IF($B437=0,"",$C437/$B437)</f>
        <v>171.285</v>
      </c>
      <c r="E437" s="33" t="n">
        <v>15000</v>
      </c>
      <c r="F437" s="6" t="n">
        <v>2567000</v>
      </c>
      <c r="G437" s="9" t="n">
        <f aca="false">IF($E437=0,"",$F437/$E437)</f>
        <v>171.133333333333</v>
      </c>
      <c r="H437" s="9" t="n">
        <f aca="false">IF(OR($B437=0,$E437=0),"N/A",$G437-$D437)</f>
        <v>-0.151666666666671</v>
      </c>
      <c r="I437" s="33" t="n">
        <f aca="false">$B437-$E437</f>
        <v>0</v>
      </c>
      <c r="J437" s="9" t="n">
        <f aca="false">$F437-$C437</f>
        <v>-2275</v>
      </c>
      <c r="K437" s="6" t="str">
        <f aca="false">IF($E437=0,"—",IF($G437&gt;=Comm_Slab2_Start,"0.0325% of sell value","0.0175 paisa per share"))</f>
        <v>0.0325% of sell value</v>
      </c>
      <c r="L437" s="9" t="n">
        <f aca="false">IF($E437=0,0,IF($G437&gt;=Comm_Slab2_Start,$F437*Comm_Slab2_Rate,$E437*Comm_Slab1_Paisa/Paisa_Per_PKR))</f>
        <v>834.275</v>
      </c>
      <c r="M437" s="9" t="n">
        <f aca="false">$L437*SST_Rate</f>
        <v>108.45575</v>
      </c>
      <c r="N437" s="9" t="n">
        <f aca="false">$L437+$M437</f>
        <v>942.73075</v>
      </c>
      <c r="O437" s="9" t="n">
        <f aca="false">$J437-$N437</f>
        <v>-3217.73075</v>
      </c>
      <c r="P437" s="10" t="n">
        <f aca="false">IF($C437=0,"N/A",$O437/$C437)</f>
        <v>-0.0012523886115733</v>
      </c>
    </row>
    <row r="438" customFormat="false" ht="15" hidden="false" customHeight="false" outlineLevel="0" collapsed="false">
      <c r="A438" s="6" t="s">
        <v>121</v>
      </c>
      <c r="B438" s="33" t="n">
        <v>1000</v>
      </c>
      <c r="C438" s="33" t="n">
        <v>520700</v>
      </c>
      <c r="D438" s="9" t="n">
        <f aca="false">IF($B438=0,"",$C438/$B438)</f>
        <v>520.7</v>
      </c>
      <c r="E438" s="33" t="n">
        <v>1000</v>
      </c>
      <c r="F438" s="6" t="n">
        <v>522000</v>
      </c>
      <c r="G438" s="9" t="n">
        <f aca="false">IF($E438=0,"",$F438/$E438)</f>
        <v>522</v>
      </c>
      <c r="H438" s="9" t="n">
        <f aca="false">IF(OR($B438=0,$E438=0),"N/A",$G438-$D438)</f>
        <v>1.29999999999995</v>
      </c>
      <c r="I438" s="33" t="n">
        <f aca="false">$B438-$E438</f>
        <v>0</v>
      </c>
      <c r="J438" s="9" t="n">
        <f aca="false">$F438-$C438</f>
        <v>1300</v>
      </c>
      <c r="K438" s="6" t="str">
        <f aca="false">IF($E438=0,"—",IF($G438&gt;=Comm_Slab2_Start,"0.0325% of sell value","0.0175 paisa per share"))</f>
        <v>0.0325% of sell value</v>
      </c>
      <c r="L438" s="9" t="n">
        <f aca="false">IF($E438=0,0,IF($G438&gt;=Comm_Slab2_Start,$F438*Comm_Slab2_Rate,$E438*Comm_Slab1_Paisa/Paisa_Per_PKR))</f>
        <v>169.65</v>
      </c>
      <c r="M438" s="9" t="n">
        <f aca="false">$L438*SST_Rate</f>
        <v>22.0545</v>
      </c>
      <c r="N438" s="9" t="n">
        <f aca="false">$L438+$M438</f>
        <v>191.7045</v>
      </c>
      <c r="O438" s="9" t="n">
        <f aca="false">$J438-$N438</f>
        <v>1108.2955</v>
      </c>
      <c r="P438" s="10" t="n">
        <f aca="false">IF($C438=0,"N/A",$O438/$C438)</f>
        <v>0.00212847224889572</v>
      </c>
    </row>
    <row r="439" customFormat="false" ht="15" hidden="false" customHeight="false" outlineLevel="0" collapsed="false">
      <c r="A439" s="6" t="s">
        <v>78</v>
      </c>
      <c r="B439" s="33" t="n">
        <v>4000</v>
      </c>
      <c r="C439" s="33" t="n">
        <v>2112660</v>
      </c>
      <c r="D439" s="9" t="n">
        <f aca="false">IF($B439=0,"",$C439/$B439)</f>
        <v>528.165</v>
      </c>
      <c r="E439" s="33" t="n">
        <v>4000</v>
      </c>
      <c r="F439" s="6" t="n">
        <v>2111350</v>
      </c>
      <c r="G439" s="9" t="n">
        <f aca="false">IF($E439=0,"",$F439/$E439)</f>
        <v>527.8375</v>
      </c>
      <c r="H439" s="9" t="n">
        <f aca="false">IF(OR($B439=0,$E439=0),"N/A",$G439-$D439)</f>
        <v>-0.327499999999986</v>
      </c>
      <c r="I439" s="33" t="n">
        <f aca="false">$B439-$E439</f>
        <v>0</v>
      </c>
      <c r="J439" s="9" t="n">
        <f aca="false">$F439-$C439</f>
        <v>-1310</v>
      </c>
      <c r="K439" s="6" t="str">
        <f aca="false">IF($E439=0,"—",IF($G439&gt;=Comm_Slab2_Start,"0.0325% of sell value","0.0175 paisa per share"))</f>
        <v>0.0325% of sell value</v>
      </c>
      <c r="L439" s="9" t="n">
        <f aca="false">IF($E439=0,0,IF($G439&gt;=Comm_Slab2_Start,$F439*Comm_Slab2_Rate,$E439*Comm_Slab1_Paisa/Paisa_Per_PKR))</f>
        <v>686.18875</v>
      </c>
      <c r="M439" s="9" t="n">
        <f aca="false">$L439*SST_Rate</f>
        <v>89.2045375</v>
      </c>
      <c r="N439" s="9" t="n">
        <f aca="false">$L439+$M439</f>
        <v>775.3932875</v>
      </c>
      <c r="O439" s="9" t="n">
        <f aca="false">$J439-$N439</f>
        <v>-2085.3932875</v>
      </c>
      <c r="P439" s="10" t="n">
        <f aca="false">IF($C439=0,"N/A",$O439/$C439)</f>
        <v>-0.000987093657995134</v>
      </c>
    </row>
    <row r="440" customFormat="false" ht="15" hidden="false" customHeight="false" outlineLevel="0" collapsed="false">
      <c r="A440" s="6" t="s">
        <v>115</v>
      </c>
      <c r="B440" s="33" t="n">
        <v>5000</v>
      </c>
      <c r="C440" s="33" t="n">
        <v>1096575</v>
      </c>
      <c r="D440" s="9" t="n">
        <f aca="false">IF($B440=0,"",$C440/$B440)</f>
        <v>219.315</v>
      </c>
      <c r="E440" s="33" t="n">
        <v>5000</v>
      </c>
      <c r="F440" s="6" t="n">
        <v>1092500</v>
      </c>
      <c r="G440" s="9" t="n">
        <f aca="false">IF($E440=0,"",$F440/$E440)</f>
        <v>218.5</v>
      </c>
      <c r="H440" s="9" t="n">
        <f aca="false">IF(OR($B440=0,$E440=0),"N/A",$G440-$D440)</f>
        <v>-0.814999999999998</v>
      </c>
      <c r="I440" s="33" t="n">
        <f aca="false">$B440-$E440</f>
        <v>0</v>
      </c>
      <c r="J440" s="9" t="n">
        <f aca="false">$F440-$C440</f>
        <v>-4075</v>
      </c>
      <c r="K440" s="6" t="str">
        <f aca="false">IF($E440=0,"—",IF($G440&gt;=Comm_Slab2_Start,"0.0325% of sell value","0.0175 paisa per share"))</f>
        <v>0.0325% of sell value</v>
      </c>
      <c r="L440" s="9" t="n">
        <f aca="false">IF($E440=0,0,IF($G440&gt;=Comm_Slab2_Start,$F440*Comm_Slab2_Rate,$E440*Comm_Slab1_Paisa/Paisa_Per_PKR))</f>
        <v>355.0625</v>
      </c>
      <c r="M440" s="9" t="n">
        <f aca="false">$L440*SST_Rate</f>
        <v>46.158125</v>
      </c>
      <c r="N440" s="9" t="n">
        <f aca="false">$L440+$M440</f>
        <v>401.220625</v>
      </c>
      <c r="O440" s="9" t="n">
        <f aca="false">$J440-$N440</f>
        <v>-4476.220625</v>
      </c>
      <c r="P440" s="10" t="n">
        <f aca="false">IF($C440=0,"N/A",$O440/$C440)</f>
        <v>-0.00408200134509724</v>
      </c>
    </row>
    <row r="441" customFormat="false" ht="15" hidden="false" customHeight="false" outlineLevel="0" collapsed="false">
      <c r="A441" s="6" t="s">
        <v>74</v>
      </c>
      <c r="B441" s="33" t="n">
        <v>15000</v>
      </c>
      <c r="C441" s="33" t="n">
        <v>1243590</v>
      </c>
      <c r="D441" s="9" t="n">
        <f aca="false">IF($B441=0,"",$C441/$B441)</f>
        <v>82.906</v>
      </c>
      <c r="E441" s="33" t="n">
        <v>15000</v>
      </c>
      <c r="F441" s="6" t="n">
        <v>1249000</v>
      </c>
      <c r="G441" s="9" t="n">
        <f aca="false">IF($E441=0,"",$F441/$E441)</f>
        <v>83.2666666666667</v>
      </c>
      <c r="H441" s="9" t="n">
        <f aca="false">IF(OR($B441=0,$E441=0),"N/A",$G441-$D441)</f>
        <v>0.36066666666666</v>
      </c>
      <c r="I441" s="33" t="n">
        <f aca="false">$B441-$E441</f>
        <v>0</v>
      </c>
      <c r="J441" s="9" t="n">
        <f aca="false">$F441-$C441</f>
        <v>5410</v>
      </c>
      <c r="K441" s="6" t="str">
        <f aca="false">IF($E441=0,"—",IF($G441&gt;=Comm_Slab2_Start,"0.0325% of sell value","0.0175 paisa per share"))</f>
        <v>0.0325% of sell value</v>
      </c>
      <c r="L441" s="9" t="n">
        <f aca="false">IF($E441=0,0,IF($G441&gt;=Comm_Slab2_Start,$F441*Comm_Slab2_Rate,$E441*Comm_Slab1_Paisa/Paisa_Per_PKR))</f>
        <v>405.925</v>
      </c>
      <c r="M441" s="9" t="n">
        <f aca="false">$L441*SST_Rate</f>
        <v>52.77025</v>
      </c>
      <c r="N441" s="9" t="n">
        <f aca="false">$L441+$M441</f>
        <v>458.69525</v>
      </c>
      <c r="O441" s="9" t="n">
        <f aca="false">$J441-$N441</f>
        <v>4951.30475</v>
      </c>
      <c r="P441" s="10" t="n">
        <f aca="false">IF($C441=0,"N/A",$O441/$C441)</f>
        <v>0.00398146073062665</v>
      </c>
    </row>
    <row r="442" customFormat="false" ht="15" hidden="false" customHeight="false" outlineLevel="0" collapsed="false">
      <c r="A442" s="29" t="s">
        <v>42</v>
      </c>
      <c r="B442" s="50" t="n">
        <f aca="false">SUM(B434:B441)</f>
        <v>43500</v>
      </c>
      <c r="C442" s="50" t="n">
        <f aca="false">SUM(C434:C441)</f>
        <v>8237815.65</v>
      </c>
      <c r="D442" s="51" t="n">
        <f aca="false">IF($B442=0,"",$C442/$B442)</f>
        <v>189.375072413793</v>
      </c>
      <c r="E442" s="50" t="n">
        <f aca="false">SUM(E434:E441)</f>
        <v>43500</v>
      </c>
      <c r="F442" s="29" t="n">
        <f aca="false">SUM(F434:F441)</f>
        <v>8236390</v>
      </c>
      <c r="G442" s="51" t="n">
        <f aca="false">IF($E442=0,"",$F442/$E442)</f>
        <v>189.342298850575</v>
      </c>
      <c r="H442" s="51" t="n">
        <f aca="false">IF(OR($B442=0,$E442=0),"N/A",$G442-$D442)</f>
        <v>-0.0327735632183988</v>
      </c>
      <c r="I442" s="50" t="n">
        <f aca="false">$B442-$E442</f>
        <v>0</v>
      </c>
      <c r="J442" s="51" t="n">
        <f aca="false">SUM(J434:J441)</f>
        <v>-1425.64999999999</v>
      </c>
      <c r="K442" s="29"/>
      <c r="L442" s="51" t="n">
        <f aca="false">SUM(L434:L441)</f>
        <v>2676.82675</v>
      </c>
      <c r="M442" s="51" t="n">
        <f aca="false">SUM(M434:M441)</f>
        <v>347.9874775</v>
      </c>
      <c r="N442" s="51" t="n">
        <f aca="false">$L442+$M442</f>
        <v>3024.8142275</v>
      </c>
      <c r="O442" s="51" t="n">
        <f aca="false">SUM(O434:O441)</f>
        <v>-4450.46422749999</v>
      </c>
      <c r="P442" s="52" t="n">
        <f aca="false">IF($C442=0,"N/A",$O442/$C442)</f>
        <v>-0.000540248096896899</v>
      </c>
    </row>
    <row r="445" customFormat="false" ht="19.7" hidden="false" customHeight="false" outlineLevel="0" collapsed="false">
      <c r="A445" s="1" t="s">
        <v>189</v>
      </c>
    </row>
    <row r="446" customFormat="false" ht="15" hidden="false" customHeight="false" outlineLevel="0" collapsed="false">
      <c r="A446" s="2" t="s">
        <v>132</v>
      </c>
      <c r="D446" s="31" t="s">
        <v>133</v>
      </c>
    </row>
    <row r="447" customFormat="false" ht="15" hidden="false" customHeight="false" outlineLevel="0" collapsed="false">
      <c r="A447" s="3" t="s">
        <v>134</v>
      </c>
      <c r="B447" s="27" t="n">
        <v>46282</v>
      </c>
      <c r="D447" s="3" t="s">
        <v>135</v>
      </c>
      <c r="E447" s="47" t="n">
        <f aca="false">C468</f>
        <v>10564945</v>
      </c>
    </row>
    <row r="448" customFormat="false" ht="15" hidden="false" customHeight="false" outlineLevel="0" collapsed="false">
      <c r="A448" s="3" t="s">
        <v>136</v>
      </c>
      <c r="B448" s="28" t="s">
        <v>137</v>
      </c>
      <c r="D448" s="3" t="s">
        <v>138</v>
      </c>
      <c r="E448" s="47" t="n">
        <f aca="false">F468</f>
        <v>10567937.65</v>
      </c>
    </row>
    <row r="449" customFormat="false" ht="15" hidden="false" customHeight="false" outlineLevel="0" collapsed="false">
      <c r="A449" s="3" t="s">
        <v>139</v>
      </c>
      <c r="B449" s="28" t="s">
        <v>151</v>
      </c>
      <c r="D449" s="3" t="s">
        <v>11</v>
      </c>
      <c r="E449" s="47" t="n">
        <f aca="false">J468</f>
        <v>2992.64999999991</v>
      </c>
    </row>
    <row r="450" customFormat="false" ht="15" hidden="false" customHeight="false" outlineLevel="0" collapsed="false">
      <c r="A450" s="3" t="s">
        <v>141</v>
      </c>
      <c r="B450" s="28" t="s">
        <v>142</v>
      </c>
      <c r="D450" s="3" t="s">
        <v>13</v>
      </c>
      <c r="E450" s="47" t="n">
        <f aca="false">L468</f>
        <v>3434.57973625</v>
      </c>
    </row>
    <row r="451" customFormat="false" ht="15" hidden="false" customHeight="false" outlineLevel="0" collapsed="false">
      <c r="A451" s="3" t="s">
        <v>143</v>
      </c>
      <c r="B451" s="28" t="s">
        <v>144</v>
      </c>
      <c r="D451" s="3" t="s">
        <v>15</v>
      </c>
      <c r="E451" s="47" t="n">
        <f aca="false">M468</f>
        <v>446.4953657125</v>
      </c>
    </row>
    <row r="452" customFormat="false" ht="15" hidden="false" customHeight="false" outlineLevel="0" collapsed="false">
      <c r="A452" s="3" t="s">
        <v>145</v>
      </c>
      <c r="B452" s="28" t="s">
        <v>190</v>
      </c>
      <c r="D452" s="3" t="s">
        <v>147</v>
      </c>
      <c r="E452" s="47" t="n">
        <f aca="false">N468</f>
        <v>3881.0751019625</v>
      </c>
    </row>
    <row r="453" customFormat="false" ht="15" hidden="false" customHeight="false" outlineLevel="0" collapsed="false">
      <c r="D453" s="3" t="s">
        <v>16</v>
      </c>
      <c r="E453" s="47" t="n">
        <f aca="false">O468</f>
        <v>-888.425101962593</v>
      </c>
    </row>
    <row r="454" customFormat="false" ht="15" hidden="false" customHeight="false" outlineLevel="0" collapsed="false">
      <c r="D454" s="3" t="s">
        <v>8</v>
      </c>
      <c r="E454" s="48" t="n">
        <f aca="false">P468</f>
        <v>-8.40917867497269E-005</v>
      </c>
    </row>
    <row r="455" customFormat="false" ht="15" hidden="false" customHeight="false" outlineLevel="0" collapsed="false">
      <c r="D455" s="3" t="s">
        <v>148</v>
      </c>
      <c r="E455" s="49" t="n">
        <f aca="false">I468</f>
        <v>0</v>
      </c>
    </row>
    <row r="456" customFormat="false" ht="15" hidden="false" customHeight="false" outlineLevel="0" collapsed="false">
      <c r="A456" s="31" t="s">
        <v>149</v>
      </c>
    </row>
    <row r="457" customFormat="false" ht="30" hidden="false" customHeight="true" outlineLevel="0" collapsed="false">
      <c r="A457" s="18" t="s">
        <v>71</v>
      </c>
      <c r="B457" s="18" t="s">
        <v>33</v>
      </c>
      <c r="C457" s="18" t="s">
        <v>36</v>
      </c>
      <c r="D457" s="18" t="s">
        <v>60</v>
      </c>
      <c r="E457" s="18" t="s">
        <v>34</v>
      </c>
      <c r="F457" s="18" t="s">
        <v>37</v>
      </c>
      <c r="G457" s="18" t="s">
        <v>61</v>
      </c>
      <c r="H457" s="18" t="s">
        <v>62</v>
      </c>
      <c r="I457" s="18" t="s">
        <v>35</v>
      </c>
      <c r="J457" s="18" t="s">
        <v>38</v>
      </c>
      <c r="K457" s="18" t="s">
        <v>63</v>
      </c>
      <c r="L457" s="18" t="s">
        <v>39</v>
      </c>
      <c r="M457" s="18" t="s">
        <v>64</v>
      </c>
      <c r="N457" s="18" t="s">
        <v>41</v>
      </c>
      <c r="O457" s="18" t="s">
        <v>7</v>
      </c>
      <c r="P457" s="18" t="s">
        <v>8</v>
      </c>
    </row>
    <row r="458" customFormat="false" ht="15" hidden="false" customHeight="false" outlineLevel="0" collapsed="false">
      <c r="A458" s="6" t="s">
        <v>122</v>
      </c>
      <c r="B458" s="33" t="n">
        <v>500</v>
      </c>
      <c r="C458" s="33" t="n">
        <v>270500</v>
      </c>
      <c r="D458" s="9" t="n">
        <f aca="false">IF($B458=0,"",$C458/$B458)</f>
        <v>541</v>
      </c>
      <c r="E458" s="33" t="n">
        <v>500</v>
      </c>
      <c r="F458" s="6" t="n">
        <v>270000</v>
      </c>
      <c r="G458" s="9" t="n">
        <f aca="false">IF($E458=0,"",$F458/$E458)</f>
        <v>540</v>
      </c>
      <c r="H458" s="9" t="n">
        <f aca="false">IF(OR($B458=0,$E458=0),"N/A",$G458-$D458)</f>
        <v>-1</v>
      </c>
      <c r="I458" s="33" t="n">
        <f aca="false">$B458-$E458</f>
        <v>0</v>
      </c>
      <c r="J458" s="9" t="n">
        <f aca="false">$F458-$C458</f>
        <v>-500</v>
      </c>
      <c r="K458" s="6" t="str">
        <f aca="false">IF($E458=0,"—",IF($G458&gt;=Comm_Slab2_Start,"0.0325% of sell value","0.0175 paisa per share"))</f>
        <v>0.0325% of sell value</v>
      </c>
      <c r="L458" s="9" t="n">
        <f aca="false">IF($E458=0,0,IF($G458&gt;=Comm_Slab2_Start,$F458*Comm_Slab2_Rate,$E458*Comm_Slab1_Paisa/Paisa_Per_PKR))</f>
        <v>87.75</v>
      </c>
      <c r="M458" s="9" t="n">
        <f aca="false">$L458*SST_Rate</f>
        <v>11.4075</v>
      </c>
      <c r="N458" s="9" t="n">
        <f aca="false">$L458+$M458</f>
        <v>99.1575</v>
      </c>
      <c r="O458" s="9" t="n">
        <f aca="false">$J458-$N458</f>
        <v>-599.1575</v>
      </c>
      <c r="P458" s="10" t="n">
        <f aca="false">IF($C458=0,"N/A",$O458/$C458)</f>
        <v>-0.002215</v>
      </c>
    </row>
    <row r="459" customFormat="false" ht="15" hidden="false" customHeight="false" outlineLevel="0" collapsed="false">
      <c r="A459" s="6" t="s">
        <v>128</v>
      </c>
      <c r="B459" s="33" t="n">
        <v>3000</v>
      </c>
      <c r="C459" s="33" t="n">
        <v>1636990</v>
      </c>
      <c r="D459" s="9" t="n">
        <f aca="false">IF($B459=0,"",$C459/$B459)</f>
        <v>545.663333333333</v>
      </c>
      <c r="E459" s="33" t="n">
        <v>3000</v>
      </c>
      <c r="F459" s="6" t="n">
        <v>1635010</v>
      </c>
      <c r="G459" s="9" t="n">
        <f aca="false">IF($E459=0,"",$F459/$E459)</f>
        <v>545.003333333333</v>
      </c>
      <c r="H459" s="9" t="n">
        <f aca="false">IF(OR($B459=0,$E459=0),"N/A",$G459-$D459)</f>
        <v>-0.659999999999968</v>
      </c>
      <c r="I459" s="33" t="n">
        <f aca="false">$B459-$E459</f>
        <v>0</v>
      </c>
      <c r="J459" s="9" t="n">
        <f aca="false">$F459-$C459</f>
        <v>-1980</v>
      </c>
      <c r="K459" s="6" t="str">
        <f aca="false">IF($E459=0,"—",IF($G459&gt;=Comm_Slab2_Start,"0.0325% of sell value","0.0175 paisa per share"))</f>
        <v>0.0325% of sell value</v>
      </c>
      <c r="L459" s="9" t="n">
        <f aca="false">IF($E459=0,0,IF($G459&gt;=Comm_Slab2_Start,$F459*Comm_Slab2_Rate,$E459*Comm_Slab1_Paisa/Paisa_Per_PKR))</f>
        <v>531.37825</v>
      </c>
      <c r="M459" s="9" t="n">
        <f aca="false">$L459*SST_Rate</f>
        <v>69.0791725</v>
      </c>
      <c r="N459" s="9" t="n">
        <f aca="false">$L459+$M459</f>
        <v>600.4574225</v>
      </c>
      <c r="O459" s="9" t="n">
        <f aca="false">$J459-$N459</f>
        <v>-2580.4574225</v>
      </c>
      <c r="P459" s="10" t="n">
        <f aca="false">IF($C459=0,"N/A",$O459/$C459)</f>
        <v>-0.00157634281363967</v>
      </c>
    </row>
    <row r="460" customFormat="false" ht="15" hidden="false" customHeight="false" outlineLevel="0" collapsed="false">
      <c r="A460" s="6" t="s">
        <v>103</v>
      </c>
      <c r="B460" s="33" t="n">
        <v>10000</v>
      </c>
      <c r="C460" s="33" t="n">
        <v>921000</v>
      </c>
      <c r="D460" s="9" t="n">
        <f aca="false">IF($B460=0,"",$C460/$B460)</f>
        <v>92.1</v>
      </c>
      <c r="E460" s="33" t="n">
        <v>10000</v>
      </c>
      <c r="F460" s="6" t="n">
        <v>920000</v>
      </c>
      <c r="G460" s="9" t="n">
        <f aca="false">IF($E460=0,"",$F460/$E460)</f>
        <v>92</v>
      </c>
      <c r="H460" s="9" t="n">
        <f aca="false">IF(OR($B460=0,$E460=0),"N/A",$G460-$D460)</f>
        <v>-0.0999999999999943</v>
      </c>
      <c r="I460" s="33" t="n">
        <f aca="false">$B460-$E460</f>
        <v>0</v>
      </c>
      <c r="J460" s="9" t="n">
        <f aca="false">$F460-$C460</f>
        <v>-1000</v>
      </c>
      <c r="K460" s="6" t="str">
        <f aca="false">IF($E460=0,"—",IF($G460&gt;=Comm_Slab2_Start,"0.0325% of sell value","0.0175 paisa per share"))</f>
        <v>0.0325% of sell value</v>
      </c>
      <c r="L460" s="9" t="n">
        <f aca="false">IF($E460=0,0,IF($G460&gt;=Comm_Slab2_Start,$F460*Comm_Slab2_Rate,$E460*Comm_Slab1_Paisa/Paisa_Per_PKR))</f>
        <v>299</v>
      </c>
      <c r="M460" s="9" t="n">
        <f aca="false">$L460*SST_Rate</f>
        <v>38.87</v>
      </c>
      <c r="N460" s="9" t="n">
        <f aca="false">$L460+$M460</f>
        <v>337.87</v>
      </c>
      <c r="O460" s="9" t="n">
        <f aca="false">$J460-$N460</f>
        <v>-1337.87</v>
      </c>
      <c r="P460" s="10" t="n">
        <f aca="false">IF($C460=0,"N/A",$O460/$C460)</f>
        <v>-0.00145262757871878</v>
      </c>
    </row>
    <row r="461" customFormat="false" ht="15" hidden="false" customHeight="false" outlineLevel="0" collapsed="false">
      <c r="A461" s="6" t="s">
        <v>105</v>
      </c>
      <c r="B461" s="33" t="n">
        <v>15000</v>
      </c>
      <c r="C461" s="33" t="n">
        <v>1395175</v>
      </c>
      <c r="D461" s="9" t="n">
        <f aca="false">IF($B461=0,"",$C461/$B461)</f>
        <v>93.0116666666667</v>
      </c>
      <c r="E461" s="33" t="n">
        <v>15000</v>
      </c>
      <c r="F461" s="6" t="n">
        <v>1395250</v>
      </c>
      <c r="G461" s="9" t="n">
        <f aca="false">IF($E461=0,"",$F461/$E461)</f>
        <v>93.0166666666667</v>
      </c>
      <c r="H461" s="9" t="n">
        <f aca="false">IF(OR($B461=0,$E461=0),"N/A",$G461-$D461)</f>
        <v>0.00499999999999545</v>
      </c>
      <c r="I461" s="33" t="n">
        <f aca="false">$B461-$E461</f>
        <v>0</v>
      </c>
      <c r="J461" s="9" t="n">
        <f aca="false">$F461-$C461</f>
        <v>75</v>
      </c>
      <c r="K461" s="6" t="str">
        <f aca="false">IF($E461=0,"—",IF($G461&gt;=Comm_Slab2_Start,"0.0325% of sell value","0.0175 paisa per share"))</f>
        <v>0.0325% of sell value</v>
      </c>
      <c r="L461" s="9" t="n">
        <f aca="false">IF($E461=0,0,IF($G461&gt;=Comm_Slab2_Start,$F461*Comm_Slab2_Rate,$E461*Comm_Slab1_Paisa/Paisa_Per_PKR))</f>
        <v>453.45625</v>
      </c>
      <c r="M461" s="9" t="n">
        <f aca="false">$L461*SST_Rate</f>
        <v>58.9493125</v>
      </c>
      <c r="N461" s="9" t="n">
        <f aca="false">$L461+$M461</f>
        <v>512.4055625</v>
      </c>
      <c r="O461" s="9" t="n">
        <f aca="false">$J461-$N461</f>
        <v>-437.4055625</v>
      </c>
      <c r="P461" s="10" t="n">
        <f aca="false">IF($C461=0,"N/A",$O461/$C461)</f>
        <v>-0.000313513044958518</v>
      </c>
    </row>
    <row r="462" customFormat="false" ht="15" hidden="false" customHeight="false" outlineLevel="0" collapsed="false">
      <c r="A462" s="6" t="s">
        <v>126</v>
      </c>
      <c r="B462" s="33" t="n">
        <v>3000</v>
      </c>
      <c r="C462" s="33" t="n">
        <v>503750</v>
      </c>
      <c r="D462" s="9" t="n">
        <f aca="false">IF($B462=0,"",$C462/$B462)</f>
        <v>167.916666666667</v>
      </c>
      <c r="E462" s="33" t="n">
        <v>3000</v>
      </c>
      <c r="F462" s="6" t="n">
        <v>506250</v>
      </c>
      <c r="G462" s="9" t="n">
        <f aca="false">IF($E462=0,"",$F462/$E462)</f>
        <v>168.75</v>
      </c>
      <c r="H462" s="9" t="n">
        <f aca="false">IF(OR($B462=0,$E462=0),"N/A",$G462-$D462)</f>
        <v>0.833333333333343</v>
      </c>
      <c r="I462" s="33" t="n">
        <f aca="false">$B462-$E462</f>
        <v>0</v>
      </c>
      <c r="J462" s="9" t="n">
        <f aca="false">$F462-$C462</f>
        <v>2500</v>
      </c>
      <c r="K462" s="6" t="str">
        <f aca="false">IF($E462=0,"—",IF($G462&gt;=Comm_Slab2_Start,"0.0325% of sell value","0.0175 paisa per share"))</f>
        <v>0.0325% of sell value</v>
      </c>
      <c r="L462" s="9" t="n">
        <f aca="false">IF($E462=0,0,IF($G462&gt;=Comm_Slab2_Start,$F462*Comm_Slab2_Rate,$E462*Comm_Slab1_Paisa/Paisa_Per_PKR))</f>
        <v>164.53125</v>
      </c>
      <c r="M462" s="9" t="n">
        <f aca="false">$L462*SST_Rate</f>
        <v>21.3890625</v>
      </c>
      <c r="N462" s="9" t="n">
        <f aca="false">$L462+$M462</f>
        <v>185.9203125</v>
      </c>
      <c r="O462" s="9" t="n">
        <f aca="false">$J462-$N462</f>
        <v>2314.0796875</v>
      </c>
      <c r="P462" s="10" t="n">
        <f aca="false">IF($C462=0,"N/A",$O462/$C462)</f>
        <v>0.00459370657568238</v>
      </c>
    </row>
    <row r="463" customFormat="false" ht="15" hidden="false" customHeight="false" outlineLevel="0" collapsed="false">
      <c r="A463" s="6" t="s">
        <v>78</v>
      </c>
      <c r="B463" s="33" t="n">
        <v>1000</v>
      </c>
      <c r="C463" s="33" t="n">
        <v>519505</v>
      </c>
      <c r="D463" s="9" t="n">
        <f aca="false">IF($B463=0,"",$C463/$B463)</f>
        <v>519.505</v>
      </c>
      <c r="E463" s="33" t="n">
        <v>1000</v>
      </c>
      <c r="F463" s="6" t="n">
        <v>519710</v>
      </c>
      <c r="G463" s="9" t="n">
        <f aca="false">IF($E463=0,"",$F463/$E463)</f>
        <v>519.71</v>
      </c>
      <c r="H463" s="9" t="n">
        <f aca="false">IF(OR($B463=0,$E463=0),"N/A",$G463-$D463)</f>
        <v>0.205000000000041</v>
      </c>
      <c r="I463" s="33" t="n">
        <f aca="false">$B463-$E463</f>
        <v>0</v>
      </c>
      <c r="J463" s="9" t="n">
        <f aca="false">$F463-$C463</f>
        <v>205</v>
      </c>
      <c r="K463" s="6" t="str">
        <f aca="false">IF($E463=0,"—",IF($G463&gt;=Comm_Slab2_Start,"0.0325% of sell value","0.0175 paisa per share"))</f>
        <v>0.0325% of sell value</v>
      </c>
      <c r="L463" s="9" t="n">
        <f aca="false">IF($E463=0,0,IF($G463&gt;=Comm_Slab2_Start,$F463*Comm_Slab2_Rate,$E463*Comm_Slab1_Paisa/Paisa_Per_PKR))</f>
        <v>168.90575</v>
      </c>
      <c r="M463" s="9" t="n">
        <f aca="false">$L463*SST_Rate</f>
        <v>21.9577475</v>
      </c>
      <c r="N463" s="9" t="n">
        <f aca="false">$L463+$M463</f>
        <v>190.8634975</v>
      </c>
      <c r="O463" s="9" t="n">
        <f aca="false">$J463-$N463</f>
        <v>14.1365025</v>
      </c>
      <c r="P463" s="10" t="n">
        <f aca="false">IF($C463=0,"N/A",$O463/$C463)</f>
        <v>2.72114849712707E-005</v>
      </c>
    </row>
    <row r="464" customFormat="false" ht="15" hidden="false" customHeight="false" outlineLevel="0" collapsed="false">
      <c r="A464" s="6" t="s">
        <v>125</v>
      </c>
      <c r="B464" s="33" t="n">
        <v>5000</v>
      </c>
      <c r="C464" s="33" t="n">
        <v>1589650</v>
      </c>
      <c r="D464" s="9" t="n">
        <f aca="false">IF($B464=0,"",$C464/$B464)</f>
        <v>317.93</v>
      </c>
      <c r="E464" s="33" t="n">
        <v>5000</v>
      </c>
      <c r="F464" s="6" t="n">
        <v>1589540</v>
      </c>
      <c r="G464" s="9" t="n">
        <f aca="false">IF($E464=0,"",$F464/$E464)</f>
        <v>317.908</v>
      </c>
      <c r="H464" s="9" t="n">
        <f aca="false">IF(OR($B464=0,$E464=0),"N/A",$G464-$D464)</f>
        <v>-0.0219999999999914</v>
      </c>
      <c r="I464" s="33" t="n">
        <f aca="false">$B464-$E464</f>
        <v>0</v>
      </c>
      <c r="J464" s="9" t="n">
        <f aca="false">$F464-$C464</f>
        <v>-110</v>
      </c>
      <c r="K464" s="6" t="str">
        <f aca="false">IF($E464=0,"—",IF($G464&gt;=Comm_Slab2_Start,"0.0325% of sell value","0.0175 paisa per share"))</f>
        <v>0.0325% of sell value</v>
      </c>
      <c r="L464" s="9" t="n">
        <f aca="false">IF($E464=0,0,IF($G464&gt;=Comm_Slab2_Start,$F464*Comm_Slab2_Rate,$E464*Comm_Slab1_Paisa/Paisa_Per_PKR))</f>
        <v>516.6005</v>
      </c>
      <c r="M464" s="9" t="n">
        <f aca="false">$L464*SST_Rate</f>
        <v>67.158065</v>
      </c>
      <c r="N464" s="9" t="n">
        <f aca="false">$L464+$M464</f>
        <v>583.758565</v>
      </c>
      <c r="O464" s="9" t="n">
        <f aca="false">$J464-$N464</f>
        <v>-693.758565</v>
      </c>
      <c r="P464" s="10" t="n">
        <f aca="false">IF($C464=0,"N/A",$O464/$C464)</f>
        <v>-0.000436422209291353</v>
      </c>
    </row>
    <row r="465" customFormat="false" ht="15" hidden="false" customHeight="false" outlineLevel="0" collapsed="false">
      <c r="A465" s="6" t="s">
        <v>115</v>
      </c>
      <c r="B465" s="33" t="n">
        <v>7500</v>
      </c>
      <c r="C465" s="33" t="n">
        <v>1653400</v>
      </c>
      <c r="D465" s="9" t="n">
        <f aca="false">IF($B465=0,"",$C465/$B465)</f>
        <v>220.453333333333</v>
      </c>
      <c r="E465" s="33" t="n">
        <v>7500</v>
      </c>
      <c r="F465" s="6" t="n">
        <v>1655402.65</v>
      </c>
      <c r="G465" s="9" t="n">
        <f aca="false">IF($E465=0,"",$F465/$E465)</f>
        <v>220.720353333333</v>
      </c>
      <c r="H465" s="9" t="n">
        <f aca="false">IF(OR($B465=0,$E465=0),"N/A",$G465-$D465)</f>
        <v>0.267019999999974</v>
      </c>
      <c r="I465" s="33" t="n">
        <f aca="false">$B465-$E465</f>
        <v>0</v>
      </c>
      <c r="J465" s="9" t="n">
        <f aca="false">$F465-$C465</f>
        <v>2002.64999999991</v>
      </c>
      <c r="K465" s="6" t="str">
        <f aca="false">IF($E465=0,"—",IF($G465&gt;=Comm_Slab2_Start,"0.0325% of sell value","0.0175 paisa per share"))</f>
        <v>0.0325% of sell value</v>
      </c>
      <c r="L465" s="9" t="n">
        <f aca="false">IF($E465=0,0,IF($G465&gt;=Comm_Slab2_Start,$F465*Comm_Slab2_Rate,$E465*Comm_Slab1_Paisa/Paisa_Per_PKR))</f>
        <v>538.00586125</v>
      </c>
      <c r="M465" s="9" t="n">
        <f aca="false">$L465*SST_Rate</f>
        <v>69.9407619625</v>
      </c>
      <c r="N465" s="9" t="n">
        <f aca="false">$L465+$M465</f>
        <v>607.9466232125</v>
      </c>
      <c r="O465" s="9" t="n">
        <f aca="false">$J465-$N465</f>
        <v>1394.70337678741</v>
      </c>
      <c r="P465" s="10" t="n">
        <f aca="false">IF($C465=0,"N/A",$O465/$C465)</f>
        <v>0.000843536577227172</v>
      </c>
    </row>
    <row r="466" customFormat="false" ht="15" hidden="false" customHeight="false" outlineLevel="0" collapsed="false">
      <c r="A466" s="6" t="s">
        <v>87</v>
      </c>
      <c r="B466" s="33" t="n">
        <v>7500</v>
      </c>
      <c r="C466" s="33" t="n">
        <v>1694325</v>
      </c>
      <c r="D466" s="9" t="n">
        <f aca="false">IF($B466=0,"",$C466/$B466)</f>
        <v>225.91</v>
      </c>
      <c r="E466" s="33" t="n">
        <v>7500</v>
      </c>
      <c r="F466" s="6" t="n">
        <v>1695020</v>
      </c>
      <c r="G466" s="9" t="n">
        <f aca="false">IF($E466=0,"",$F466/$E466)</f>
        <v>226.002666666667</v>
      </c>
      <c r="H466" s="9" t="n">
        <f aca="false">IF(OR($B466=0,$E466=0),"N/A",$G466-$D466)</f>
        <v>0.0926666666666733</v>
      </c>
      <c r="I466" s="33" t="n">
        <f aca="false">$B466-$E466</f>
        <v>0</v>
      </c>
      <c r="J466" s="9" t="n">
        <f aca="false">$F466-$C466</f>
        <v>695</v>
      </c>
      <c r="K466" s="6" t="str">
        <f aca="false">IF($E466=0,"—",IF($G466&gt;=Comm_Slab2_Start,"0.0325% of sell value","0.0175 paisa per share"))</f>
        <v>0.0325% of sell value</v>
      </c>
      <c r="L466" s="9" t="n">
        <f aca="false">IF($E466=0,0,IF($G466&gt;=Comm_Slab2_Start,$F466*Comm_Slab2_Rate,$E466*Comm_Slab1_Paisa/Paisa_Per_PKR))</f>
        <v>550.8815</v>
      </c>
      <c r="M466" s="9" t="n">
        <f aca="false">$L466*SST_Rate</f>
        <v>71.614595</v>
      </c>
      <c r="N466" s="9" t="n">
        <f aca="false">$L466+$M466</f>
        <v>622.496095</v>
      </c>
      <c r="O466" s="9" t="n">
        <f aca="false">$J466-$N466</f>
        <v>72.503905</v>
      </c>
      <c r="P466" s="10" t="n">
        <f aca="false">IF($C466=0,"N/A",$O466/$C466)</f>
        <v>4.27922063358565E-005</v>
      </c>
    </row>
    <row r="467" customFormat="false" ht="15" hidden="false" customHeight="false" outlineLevel="0" collapsed="false">
      <c r="A467" s="6" t="s">
        <v>113</v>
      </c>
      <c r="B467" s="33" t="n">
        <v>5000</v>
      </c>
      <c r="C467" s="33" t="n">
        <v>380650</v>
      </c>
      <c r="D467" s="9" t="n">
        <f aca="false">IF($B467=0,"",$C467/$B467)</f>
        <v>76.13</v>
      </c>
      <c r="E467" s="33" t="n">
        <v>5000</v>
      </c>
      <c r="F467" s="6" t="n">
        <v>381755</v>
      </c>
      <c r="G467" s="9" t="n">
        <f aca="false">IF($E467=0,"",$F467/$E467)</f>
        <v>76.351</v>
      </c>
      <c r="H467" s="9" t="n">
        <f aca="false">IF(OR($B467=0,$E467=0),"N/A",$G467-$D467)</f>
        <v>0.221000000000004</v>
      </c>
      <c r="I467" s="33" t="n">
        <f aca="false">$B467-$E467</f>
        <v>0</v>
      </c>
      <c r="J467" s="9" t="n">
        <f aca="false">$F467-$C467</f>
        <v>1105</v>
      </c>
      <c r="K467" s="6" t="str">
        <f aca="false">IF($E467=0,"—",IF($G467&gt;=Comm_Slab2_Start,"0.0325% of sell value","0.0175 paisa per share"))</f>
        <v>0.0325% of sell value</v>
      </c>
      <c r="L467" s="9" t="n">
        <f aca="false">IF($E467=0,0,IF($G467&gt;=Comm_Slab2_Start,$F467*Comm_Slab2_Rate,$E467*Comm_Slab1_Paisa/Paisa_Per_PKR))</f>
        <v>124.070375</v>
      </c>
      <c r="M467" s="9" t="n">
        <f aca="false">$L467*SST_Rate</f>
        <v>16.12914875</v>
      </c>
      <c r="N467" s="9" t="n">
        <f aca="false">$L467+$M467</f>
        <v>140.19952375</v>
      </c>
      <c r="O467" s="9" t="n">
        <f aca="false">$J467-$N467</f>
        <v>964.80047625</v>
      </c>
      <c r="P467" s="10" t="n">
        <f aca="false">IF($C467=0,"N/A",$O467/$C467)</f>
        <v>0.00253461309930382</v>
      </c>
    </row>
    <row r="468" customFormat="false" ht="15" hidden="false" customHeight="false" outlineLevel="0" collapsed="false">
      <c r="A468" s="29" t="s">
        <v>42</v>
      </c>
      <c r="B468" s="50" t="n">
        <f aca="false">SUM(B458:B467)</f>
        <v>57500</v>
      </c>
      <c r="C468" s="50" t="n">
        <f aca="false">SUM(C458:C467)</f>
        <v>10564945</v>
      </c>
      <c r="D468" s="51" t="n">
        <f aca="false">IF($B468=0,"",$C468/$B468)</f>
        <v>183.738173913043</v>
      </c>
      <c r="E468" s="50" t="n">
        <f aca="false">SUM(E458:E467)</f>
        <v>57500</v>
      </c>
      <c r="F468" s="29" t="n">
        <f aca="false">SUM(F458:F467)</f>
        <v>10567937.65</v>
      </c>
      <c r="G468" s="51" t="n">
        <f aca="false">IF($E468=0,"",$F468/$E468)</f>
        <v>183.79022</v>
      </c>
      <c r="H468" s="51" t="n">
        <f aca="false">IF(OR($B468=0,$E468=0),"N/A",$G468-$D468)</f>
        <v>0.0520460869565227</v>
      </c>
      <c r="I468" s="50" t="n">
        <f aca="false">$B468-$E468</f>
        <v>0</v>
      </c>
      <c r="J468" s="51" t="n">
        <f aca="false">SUM(J458:J467)</f>
        <v>2992.64999999991</v>
      </c>
      <c r="K468" s="29"/>
      <c r="L468" s="51" t="n">
        <f aca="false">SUM(L458:L467)</f>
        <v>3434.57973625</v>
      </c>
      <c r="M468" s="51" t="n">
        <f aca="false">SUM(M458:M467)</f>
        <v>446.4953657125</v>
      </c>
      <c r="N468" s="51" t="n">
        <f aca="false">$L468+$M468</f>
        <v>3881.0751019625</v>
      </c>
      <c r="O468" s="51" t="n">
        <f aca="false">SUM(O458:O467)</f>
        <v>-888.425101962593</v>
      </c>
      <c r="P468" s="52" t="n">
        <f aca="false">IF($C468=0,"N/A",$O468/$C468)</f>
        <v>-8.40917867497269E-005</v>
      </c>
    </row>
    <row r="471" customFormat="false" ht="19.7" hidden="false" customHeight="false" outlineLevel="0" collapsed="false">
      <c r="A471" s="1" t="s">
        <v>191</v>
      </c>
    </row>
    <row r="472" customFormat="false" ht="15" hidden="false" customHeight="false" outlineLevel="0" collapsed="false">
      <c r="A472" s="2" t="s">
        <v>132</v>
      </c>
      <c r="D472" s="31" t="s">
        <v>133</v>
      </c>
    </row>
    <row r="473" customFormat="false" ht="15" hidden="false" customHeight="false" outlineLevel="0" collapsed="false">
      <c r="A473" s="3" t="s">
        <v>134</v>
      </c>
      <c r="B473" s="27" t="n">
        <v>46283</v>
      </c>
      <c r="D473" s="3" t="s">
        <v>135</v>
      </c>
      <c r="E473" s="47" t="n">
        <f aca="false">C495</f>
        <v>14436905.94</v>
      </c>
    </row>
    <row r="474" customFormat="false" ht="15" hidden="false" customHeight="false" outlineLevel="0" collapsed="false">
      <c r="A474" s="3" t="s">
        <v>136</v>
      </c>
      <c r="B474" s="28" t="s">
        <v>137</v>
      </c>
      <c r="D474" s="3" t="s">
        <v>138</v>
      </c>
      <c r="E474" s="47" t="n">
        <f aca="false">F495</f>
        <v>14447051.46</v>
      </c>
    </row>
    <row r="475" customFormat="false" ht="15" hidden="false" customHeight="false" outlineLevel="0" collapsed="false">
      <c r="A475" s="3" t="s">
        <v>139</v>
      </c>
      <c r="B475" s="28" t="s">
        <v>151</v>
      </c>
      <c r="D475" s="3" t="s">
        <v>11</v>
      </c>
      <c r="E475" s="47" t="n">
        <f aca="false">J495</f>
        <v>10145.52</v>
      </c>
    </row>
    <row r="476" customFormat="false" ht="15" hidden="false" customHeight="false" outlineLevel="0" collapsed="false">
      <c r="A476" s="3" t="s">
        <v>141</v>
      </c>
      <c r="B476" s="28" t="s">
        <v>142</v>
      </c>
      <c r="D476" s="3" t="s">
        <v>13</v>
      </c>
      <c r="E476" s="47" t="n">
        <f aca="false">L495</f>
        <v>4695.2917245</v>
      </c>
    </row>
    <row r="477" customFormat="false" ht="15" hidden="false" customHeight="false" outlineLevel="0" collapsed="false">
      <c r="A477" s="3" t="s">
        <v>143</v>
      </c>
      <c r="B477" s="28" t="s">
        <v>144</v>
      </c>
      <c r="D477" s="3" t="s">
        <v>15</v>
      </c>
      <c r="E477" s="47" t="n">
        <f aca="false">M495</f>
        <v>610.387924185</v>
      </c>
    </row>
    <row r="478" customFormat="false" ht="15" hidden="false" customHeight="false" outlineLevel="0" collapsed="false">
      <c r="A478" s="3" t="s">
        <v>145</v>
      </c>
      <c r="B478" s="28" t="s">
        <v>192</v>
      </c>
      <c r="D478" s="3" t="s">
        <v>147</v>
      </c>
      <c r="E478" s="47" t="n">
        <f aca="false">N495</f>
        <v>5305.679648685</v>
      </c>
    </row>
    <row r="479" customFormat="false" ht="15" hidden="false" customHeight="false" outlineLevel="0" collapsed="false">
      <c r="D479" s="3" t="s">
        <v>16</v>
      </c>
      <c r="E479" s="47" t="n">
        <f aca="false">O495</f>
        <v>4839.84035131502</v>
      </c>
    </row>
    <row r="480" customFormat="false" ht="15" hidden="false" customHeight="false" outlineLevel="0" collapsed="false">
      <c r="D480" s="3" t="s">
        <v>8</v>
      </c>
      <c r="E480" s="48" t="n">
        <f aca="false">P495</f>
        <v>0.000335240831479367</v>
      </c>
    </row>
    <row r="481" customFormat="false" ht="15" hidden="false" customHeight="false" outlineLevel="0" collapsed="false">
      <c r="D481" s="3" t="s">
        <v>148</v>
      </c>
      <c r="E481" s="49" t="n">
        <f aca="false">I495</f>
        <v>0</v>
      </c>
    </row>
    <row r="482" customFormat="false" ht="15" hidden="false" customHeight="false" outlineLevel="0" collapsed="false">
      <c r="A482" s="31" t="s">
        <v>149</v>
      </c>
    </row>
    <row r="483" customFormat="false" ht="30" hidden="false" customHeight="true" outlineLevel="0" collapsed="false">
      <c r="A483" s="18" t="s">
        <v>71</v>
      </c>
      <c r="B483" s="18" t="s">
        <v>33</v>
      </c>
      <c r="C483" s="18" t="s">
        <v>36</v>
      </c>
      <c r="D483" s="18" t="s">
        <v>60</v>
      </c>
      <c r="E483" s="18" t="s">
        <v>34</v>
      </c>
      <c r="F483" s="18" t="s">
        <v>37</v>
      </c>
      <c r="G483" s="18" t="s">
        <v>61</v>
      </c>
      <c r="H483" s="18" t="s">
        <v>62</v>
      </c>
      <c r="I483" s="18" t="s">
        <v>35</v>
      </c>
      <c r="J483" s="18" t="s">
        <v>38</v>
      </c>
      <c r="K483" s="18" t="s">
        <v>63</v>
      </c>
      <c r="L483" s="18" t="s">
        <v>39</v>
      </c>
      <c r="M483" s="18" t="s">
        <v>64</v>
      </c>
      <c r="N483" s="18" t="s">
        <v>41</v>
      </c>
      <c r="O483" s="18" t="s">
        <v>7</v>
      </c>
      <c r="P483" s="18" t="s">
        <v>8</v>
      </c>
    </row>
    <row r="484" customFormat="false" ht="15" hidden="false" customHeight="false" outlineLevel="0" collapsed="false">
      <c r="A484" s="6" t="s">
        <v>85</v>
      </c>
      <c r="B484" s="33" t="n">
        <v>8000</v>
      </c>
      <c r="C484" s="33" t="n">
        <v>1568395</v>
      </c>
      <c r="D484" s="9" t="n">
        <f aca="false">IF($B484=0,"",$C484/$B484)</f>
        <v>196.049375</v>
      </c>
      <c r="E484" s="33" t="n">
        <v>8000</v>
      </c>
      <c r="F484" s="6" t="n">
        <v>1570125</v>
      </c>
      <c r="G484" s="9" t="n">
        <f aca="false">IF($E484=0,"",$F484/$E484)</f>
        <v>196.265625</v>
      </c>
      <c r="H484" s="9" t="n">
        <f aca="false">IF(OR($B484=0,$E484=0),"N/A",$G484-$D484)</f>
        <v>0.216250000000002</v>
      </c>
      <c r="I484" s="33" t="n">
        <f aca="false">$B484-$E484</f>
        <v>0</v>
      </c>
      <c r="J484" s="9" t="n">
        <f aca="false">$F484-$C484</f>
        <v>1730</v>
      </c>
      <c r="K484" s="6" t="str">
        <f aca="false">IF($E484=0,"—",IF($G484&gt;=Comm_Slab2_Start,"0.0325% of sell value","0.0175 paisa per share"))</f>
        <v>0.0325% of sell value</v>
      </c>
      <c r="L484" s="9" t="n">
        <f aca="false">IF($E484=0,0,IF($G484&gt;=Comm_Slab2_Start,$F484*Comm_Slab2_Rate,$E484*Comm_Slab1_Paisa/Paisa_Per_PKR))</f>
        <v>510.290625</v>
      </c>
      <c r="M484" s="9" t="n">
        <f aca="false">$L484*SST_Rate</f>
        <v>66.33778125</v>
      </c>
      <c r="N484" s="9" t="n">
        <f aca="false">$L484+$M484</f>
        <v>576.62840625</v>
      </c>
      <c r="O484" s="9" t="n">
        <f aca="false">$J484-$N484</f>
        <v>1153.37159375</v>
      </c>
      <c r="P484" s="10" t="n">
        <f aca="false">IF($C484=0,"N/A",$O484/$C484)</f>
        <v>0.000735383365638121</v>
      </c>
    </row>
    <row r="485" customFormat="false" ht="15" hidden="false" customHeight="false" outlineLevel="0" collapsed="false">
      <c r="A485" s="6" t="s">
        <v>103</v>
      </c>
      <c r="B485" s="33" t="n">
        <v>10000</v>
      </c>
      <c r="C485" s="33" t="n">
        <v>945000</v>
      </c>
      <c r="D485" s="9" t="n">
        <f aca="false">IF($B485=0,"",$C485/$B485)</f>
        <v>94.5</v>
      </c>
      <c r="E485" s="33" t="n">
        <v>10000</v>
      </c>
      <c r="F485" s="6" t="n">
        <v>942500</v>
      </c>
      <c r="G485" s="9" t="n">
        <f aca="false">IF($E485=0,"",$F485/$E485)</f>
        <v>94.25</v>
      </c>
      <c r="H485" s="9" t="n">
        <f aca="false">IF(OR($B485=0,$E485=0),"N/A",$G485-$D485)</f>
        <v>-0.25</v>
      </c>
      <c r="I485" s="33" t="n">
        <f aca="false">$B485-$E485</f>
        <v>0</v>
      </c>
      <c r="J485" s="9" t="n">
        <f aca="false">$F485-$C485</f>
        <v>-2500</v>
      </c>
      <c r="K485" s="6" t="str">
        <f aca="false">IF($E485=0,"—",IF($G485&gt;=Comm_Slab2_Start,"0.0325% of sell value","0.0175 paisa per share"))</f>
        <v>0.0325% of sell value</v>
      </c>
      <c r="L485" s="9" t="n">
        <f aca="false">IF($E485=0,0,IF($G485&gt;=Comm_Slab2_Start,$F485*Comm_Slab2_Rate,$E485*Comm_Slab1_Paisa/Paisa_Per_PKR))</f>
        <v>306.3125</v>
      </c>
      <c r="M485" s="9" t="n">
        <f aca="false">$L485*SST_Rate</f>
        <v>39.820625</v>
      </c>
      <c r="N485" s="9" t="n">
        <f aca="false">$L485+$M485</f>
        <v>346.133125</v>
      </c>
      <c r="O485" s="9" t="n">
        <f aca="false">$J485-$N485</f>
        <v>-2846.133125</v>
      </c>
      <c r="P485" s="10" t="n">
        <f aca="false">IF($C485=0,"N/A",$O485/$C485)</f>
        <v>-0.00301178108465608</v>
      </c>
    </row>
    <row r="486" customFormat="false" ht="15" hidden="false" customHeight="false" outlineLevel="0" collapsed="false">
      <c r="A486" s="6" t="s">
        <v>105</v>
      </c>
      <c r="B486" s="33" t="n">
        <v>10000</v>
      </c>
      <c r="C486" s="33" t="n">
        <v>950000</v>
      </c>
      <c r="D486" s="9" t="n">
        <f aca="false">IF($B486=0,"",$C486/$B486)</f>
        <v>95</v>
      </c>
      <c r="E486" s="33" t="n">
        <v>10000</v>
      </c>
      <c r="F486" s="6" t="n">
        <v>950000</v>
      </c>
      <c r="G486" s="9" t="n">
        <f aca="false">IF($E486=0,"",$F486/$E486)</f>
        <v>95</v>
      </c>
      <c r="H486" s="9" t="n">
        <f aca="false">IF(OR($B486=0,$E486=0),"N/A",$G486-$D486)</f>
        <v>0</v>
      </c>
      <c r="I486" s="33" t="n">
        <f aca="false">$B486-$E486</f>
        <v>0</v>
      </c>
      <c r="J486" s="9" t="n">
        <f aca="false">$F486-$C486</f>
        <v>0</v>
      </c>
      <c r="K486" s="6" t="str">
        <f aca="false">IF($E486=0,"—",IF($G486&gt;=Comm_Slab2_Start,"0.0325% of sell value","0.0175 paisa per share"))</f>
        <v>0.0325% of sell value</v>
      </c>
      <c r="L486" s="9" t="n">
        <f aca="false">IF($E486=0,0,IF($G486&gt;=Comm_Slab2_Start,$F486*Comm_Slab2_Rate,$E486*Comm_Slab1_Paisa/Paisa_Per_PKR))</f>
        <v>308.75</v>
      </c>
      <c r="M486" s="9" t="n">
        <f aca="false">$L486*SST_Rate</f>
        <v>40.1375</v>
      </c>
      <c r="N486" s="9" t="n">
        <f aca="false">$L486+$M486</f>
        <v>348.8875</v>
      </c>
      <c r="O486" s="9" t="n">
        <f aca="false">$J486-$N486</f>
        <v>-348.8875</v>
      </c>
      <c r="P486" s="10" t="n">
        <f aca="false">IF($C486=0,"N/A",$O486/$C486)</f>
        <v>-0.00036725</v>
      </c>
    </row>
    <row r="487" customFormat="false" ht="15" hidden="false" customHeight="false" outlineLevel="0" collapsed="false">
      <c r="A487" s="6" t="s">
        <v>96</v>
      </c>
      <c r="B487" s="33" t="n">
        <v>12500</v>
      </c>
      <c r="C487" s="33" t="n">
        <v>731855</v>
      </c>
      <c r="D487" s="9" t="n">
        <f aca="false">IF($B487=0,"",$C487/$B487)</f>
        <v>58.5484</v>
      </c>
      <c r="E487" s="33" t="n">
        <v>12500</v>
      </c>
      <c r="F487" s="6" t="n">
        <v>732800</v>
      </c>
      <c r="G487" s="9" t="n">
        <f aca="false">IF($E487=0,"",$F487/$E487)</f>
        <v>58.624</v>
      </c>
      <c r="H487" s="9" t="n">
        <f aca="false">IF(OR($B487=0,$E487=0),"N/A",$G487-$D487)</f>
        <v>0.0756000000000014</v>
      </c>
      <c r="I487" s="33" t="n">
        <f aca="false">$B487-$E487</f>
        <v>0</v>
      </c>
      <c r="J487" s="9" t="n">
        <f aca="false">$F487-$C487</f>
        <v>945</v>
      </c>
      <c r="K487" s="6" t="str">
        <f aca="false">IF($E487=0,"—",IF($G487&gt;=Comm_Slab2_Start,"0.0325% of sell value","0.0175 paisa per share"))</f>
        <v>0.0325% of sell value</v>
      </c>
      <c r="L487" s="9" t="n">
        <f aca="false">IF($E487=0,0,IF($G487&gt;=Comm_Slab2_Start,$F487*Comm_Slab2_Rate,$E487*Comm_Slab1_Paisa/Paisa_Per_PKR))</f>
        <v>238.16</v>
      </c>
      <c r="M487" s="9" t="n">
        <f aca="false">$L487*SST_Rate</f>
        <v>30.9608</v>
      </c>
      <c r="N487" s="9" t="n">
        <f aca="false">$L487+$M487</f>
        <v>269.1208</v>
      </c>
      <c r="O487" s="9" t="n">
        <f aca="false">$J487-$N487</f>
        <v>675.8792</v>
      </c>
      <c r="P487" s="10" t="n">
        <f aca="false">IF($C487=0,"N/A",$O487/$C487)</f>
        <v>0.000923515177186738</v>
      </c>
    </row>
    <row r="488" customFormat="false" ht="15" hidden="false" customHeight="false" outlineLevel="0" collapsed="false">
      <c r="A488" s="6" t="s">
        <v>99</v>
      </c>
      <c r="B488" s="33" t="n">
        <v>5000</v>
      </c>
      <c r="C488" s="33" t="n">
        <v>326000</v>
      </c>
      <c r="D488" s="9" t="n">
        <f aca="false">IF($B488=0,"",$C488/$B488)</f>
        <v>65.2</v>
      </c>
      <c r="E488" s="33" t="n">
        <v>5000</v>
      </c>
      <c r="F488" s="6" t="n">
        <v>327000</v>
      </c>
      <c r="G488" s="9" t="n">
        <f aca="false">IF($E488=0,"",$F488/$E488)</f>
        <v>65.4</v>
      </c>
      <c r="H488" s="9" t="n">
        <f aca="false">IF(OR($B488=0,$E488=0),"N/A",$G488-$D488)</f>
        <v>0.200000000000003</v>
      </c>
      <c r="I488" s="33" t="n">
        <f aca="false">$B488-$E488</f>
        <v>0</v>
      </c>
      <c r="J488" s="9" t="n">
        <f aca="false">$F488-$C488</f>
        <v>1000</v>
      </c>
      <c r="K488" s="6" t="str">
        <f aca="false">IF($E488=0,"—",IF($G488&gt;=Comm_Slab2_Start,"0.0325% of sell value","0.0175 paisa per share"))</f>
        <v>0.0325% of sell value</v>
      </c>
      <c r="L488" s="9" t="n">
        <f aca="false">IF($E488=0,0,IF($G488&gt;=Comm_Slab2_Start,$F488*Comm_Slab2_Rate,$E488*Comm_Slab1_Paisa/Paisa_Per_PKR))</f>
        <v>106.275</v>
      </c>
      <c r="M488" s="9" t="n">
        <f aca="false">$L488*SST_Rate</f>
        <v>13.81575</v>
      </c>
      <c r="N488" s="9" t="n">
        <f aca="false">$L488+$M488</f>
        <v>120.09075</v>
      </c>
      <c r="O488" s="9" t="n">
        <f aca="false">$J488-$N488</f>
        <v>879.90925</v>
      </c>
      <c r="P488" s="10" t="n">
        <f aca="false">IF($C488=0,"N/A",$O488/$C488)</f>
        <v>0.00269910812883436</v>
      </c>
    </row>
    <row r="489" customFormat="false" ht="15" hidden="false" customHeight="false" outlineLevel="0" collapsed="false">
      <c r="A489" s="6" t="s">
        <v>121</v>
      </c>
      <c r="B489" s="33" t="n">
        <v>1000</v>
      </c>
      <c r="C489" s="33" t="n">
        <v>524700</v>
      </c>
      <c r="D489" s="9" t="n">
        <f aca="false">IF($B489=0,"",$C489/$B489)</f>
        <v>524.7</v>
      </c>
      <c r="E489" s="33" t="n">
        <v>1000</v>
      </c>
      <c r="F489" s="6" t="n">
        <v>525000</v>
      </c>
      <c r="G489" s="9" t="n">
        <f aca="false">IF($E489=0,"",$F489/$E489)</f>
        <v>525</v>
      </c>
      <c r="H489" s="9" t="n">
        <f aca="false">IF(OR($B489=0,$E489=0),"N/A",$G489-$D489)</f>
        <v>0.299999999999955</v>
      </c>
      <c r="I489" s="33" t="n">
        <f aca="false">$B489-$E489</f>
        <v>0</v>
      </c>
      <c r="J489" s="9" t="n">
        <f aca="false">$F489-$C489</f>
        <v>300</v>
      </c>
      <c r="K489" s="6" t="str">
        <f aca="false">IF($E489=0,"—",IF($G489&gt;=Comm_Slab2_Start,"0.0325% of sell value","0.0175 paisa per share"))</f>
        <v>0.0325% of sell value</v>
      </c>
      <c r="L489" s="9" t="n">
        <f aca="false">IF($E489=0,0,IF($G489&gt;=Comm_Slab2_Start,$F489*Comm_Slab2_Rate,$E489*Comm_Slab1_Paisa/Paisa_Per_PKR))</f>
        <v>170.625</v>
      </c>
      <c r="M489" s="9" t="n">
        <f aca="false">$L489*SST_Rate</f>
        <v>22.18125</v>
      </c>
      <c r="N489" s="9" t="n">
        <f aca="false">$L489+$M489</f>
        <v>192.80625</v>
      </c>
      <c r="O489" s="9" t="n">
        <f aca="false">$J489-$N489</f>
        <v>107.19375</v>
      </c>
      <c r="P489" s="10" t="n">
        <f aca="false">IF($C489=0,"N/A",$O489/$C489)</f>
        <v>0.000204295311606632</v>
      </c>
    </row>
    <row r="490" customFormat="false" ht="15" hidden="false" customHeight="false" outlineLevel="0" collapsed="false">
      <c r="A490" s="6" t="s">
        <v>92</v>
      </c>
      <c r="B490" s="33" t="n">
        <v>3219</v>
      </c>
      <c r="C490" s="33" t="n">
        <v>1023825.94</v>
      </c>
      <c r="D490" s="9" t="n">
        <f aca="false">IF($B490=0,"",$C490/$B490)</f>
        <v>318.057141969556</v>
      </c>
      <c r="E490" s="33" t="n">
        <v>3219</v>
      </c>
      <c r="F490" s="6" t="n">
        <v>1025401.46</v>
      </c>
      <c r="G490" s="9" t="n">
        <f aca="false">IF($E490=0,"",$F490/$E490)</f>
        <v>318.546585896241</v>
      </c>
      <c r="H490" s="9" t="n">
        <f aca="false">IF(OR($B490=0,$E490=0),"N/A",$G490-$D490)</f>
        <v>0.48944392668534</v>
      </c>
      <c r="I490" s="33" t="n">
        <f aca="false">$B490-$E490</f>
        <v>0</v>
      </c>
      <c r="J490" s="9" t="n">
        <f aca="false">$F490-$C490</f>
        <v>1575.52000000002</v>
      </c>
      <c r="K490" s="6" t="str">
        <f aca="false">IF($E490=0,"—",IF($G490&gt;=Comm_Slab2_Start,"0.0325% of sell value","0.0175 paisa per share"))</f>
        <v>0.0325% of sell value</v>
      </c>
      <c r="L490" s="9" t="n">
        <f aca="false">IF($E490=0,0,IF($G490&gt;=Comm_Slab2_Start,$F490*Comm_Slab2_Rate,$E490*Comm_Slab1_Paisa/Paisa_Per_PKR))</f>
        <v>333.2554745</v>
      </c>
      <c r="M490" s="9" t="n">
        <f aca="false">$L490*SST_Rate</f>
        <v>43.323211685</v>
      </c>
      <c r="N490" s="9" t="n">
        <f aca="false">$L490+$M490</f>
        <v>376.578686185</v>
      </c>
      <c r="O490" s="9" t="n">
        <f aca="false">$J490-$N490</f>
        <v>1198.94131381502</v>
      </c>
      <c r="P490" s="10" t="n">
        <f aca="false">IF($C490=0,"N/A",$O490/$C490)</f>
        <v>0.00117104018073133</v>
      </c>
    </row>
    <row r="491" customFormat="false" ht="15" hidden="false" customHeight="false" outlineLevel="0" collapsed="false">
      <c r="A491" s="6" t="s">
        <v>125</v>
      </c>
      <c r="B491" s="33" t="n">
        <v>2500</v>
      </c>
      <c r="C491" s="33" t="n">
        <v>797635</v>
      </c>
      <c r="D491" s="9" t="n">
        <f aca="false">IF($B491=0,"",$C491/$B491)</f>
        <v>319.054</v>
      </c>
      <c r="E491" s="33" t="n">
        <v>2500</v>
      </c>
      <c r="F491" s="6" t="n">
        <v>797700</v>
      </c>
      <c r="G491" s="9" t="n">
        <f aca="false">IF($E491=0,"",$F491/$E491)</f>
        <v>319.08</v>
      </c>
      <c r="H491" s="9" t="n">
        <f aca="false">IF(OR($B491=0,$E491=0),"N/A",$G491-$D491)</f>
        <v>0.0260000000000105</v>
      </c>
      <c r="I491" s="33" t="n">
        <f aca="false">$B491-$E491</f>
        <v>0</v>
      </c>
      <c r="J491" s="9" t="n">
        <f aca="false">$F491-$C491</f>
        <v>65</v>
      </c>
      <c r="K491" s="6" t="str">
        <f aca="false">IF($E491=0,"—",IF($G491&gt;=Comm_Slab2_Start,"0.0325% of sell value","0.0175 paisa per share"))</f>
        <v>0.0325% of sell value</v>
      </c>
      <c r="L491" s="9" t="n">
        <f aca="false">IF($E491=0,0,IF($G491&gt;=Comm_Slab2_Start,$F491*Comm_Slab2_Rate,$E491*Comm_Slab1_Paisa/Paisa_Per_PKR))</f>
        <v>259.2525</v>
      </c>
      <c r="M491" s="9" t="n">
        <f aca="false">$L491*SST_Rate</f>
        <v>33.702825</v>
      </c>
      <c r="N491" s="9" t="n">
        <f aca="false">$L491+$M491</f>
        <v>292.955325</v>
      </c>
      <c r="O491" s="9" t="n">
        <f aca="false">$J491-$N491</f>
        <v>-227.955325</v>
      </c>
      <c r="P491" s="10" t="n">
        <f aca="false">IF($C491=0,"N/A",$O491/$C491)</f>
        <v>-0.000285789020040495</v>
      </c>
    </row>
    <row r="492" customFormat="false" ht="15" hidden="false" customHeight="false" outlineLevel="0" collapsed="false">
      <c r="A492" s="6" t="s">
        <v>87</v>
      </c>
      <c r="B492" s="33" t="n">
        <v>27500</v>
      </c>
      <c r="C492" s="33" t="n">
        <v>6347390</v>
      </c>
      <c r="D492" s="9" t="n">
        <f aca="false">IF($B492=0,"",$C492/$B492)</f>
        <v>230.814181818182</v>
      </c>
      <c r="E492" s="33" t="n">
        <v>27500</v>
      </c>
      <c r="F492" s="6" t="n">
        <v>6353600</v>
      </c>
      <c r="G492" s="9" t="n">
        <f aca="false">IF($E492=0,"",$F492/$E492)</f>
        <v>231.04</v>
      </c>
      <c r="H492" s="9" t="n">
        <f aca="false">IF(OR($B492=0,$E492=0),"N/A",$G492-$D492)</f>
        <v>0.22581818181817</v>
      </c>
      <c r="I492" s="33" t="n">
        <f aca="false">$B492-$E492</f>
        <v>0</v>
      </c>
      <c r="J492" s="9" t="n">
        <f aca="false">$F492-$C492</f>
        <v>6210</v>
      </c>
      <c r="K492" s="6" t="str">
        <f aca="false">IF($E492=0,"—",IF($G492&gt;=Comm_Slab2_Start,"0.0325% of sell value","0.0175 paisa per share"))</f>
        <v>0.0325% of sell value</v>
      </c>
      <c r="L492" s="9" t="n">
        <f aca="false">IF($E492=0,0,IF($G492&gt;=Comm_Slab2_Start,$F492*Comm_Slab2_Rate,$E492*Comm_Slab1_Paisa/Paisa_Per_PKR))</f>
        <v>2064.92</v>
      </c>
      <c r="M492" s="9" t="n">
        <f aca="false">$L492*SST_Rate</f>
        <v>268.4396</v>
      </c>
      <c r="N492" s="9" t="n">
        <f aca="false">$L492+$M492</f>
        <v>2333.3596</v>
      </c>
      <c r="O492" s="9" t="n">
        <f aca="false">$J492-$N492</f>
        <v>3876.6404</v>
      </c>
      <c r="P492" s="10" t="n">
        <f aca="false">IF($C492=0,"N/A",$O492/$C492)</f>
        <v>0.000610745582042383</v>
      </c>
    </row>
    <row r="493" customFormat="false" ht="15" hidden="false" customHeight="false" outlineLevel="0" collapsed="false">
      <c r="A493" s="6" t="s">
        <v>74</v>
      </c>
      <c r="B493" s="33" t="n">
        <v>10000</v>
      </c>
      <c r="C493" s="33" t="n">
        <v>828625</v>
      </c>
      <c r="D493" s="9" t="n">
        <f aca="false">IF($B493=0,"",$C493/$B493)</f>
        <v>82.8625</v>
      </c>
      <c r="E493" s="33" t="n">
        <v>10000</v>
      </c>
      <c r="F493" s="6" t="n">
        <v>829110</v>
      </c>
      <c r="G493" s="9" t="n">
        <f aca="false">IF($E493=0,"",$F493/$E493)</f>
        <v>82.911</v>
      </c>
      <c r="H493" s="9" t="n">
        <f aca="false">IF(OR($B493=0,$E493=0),"N/A",$G493-$D493)</f>
        <v>0.0485000000000042</v>
      </c>
      <c r="I493" s="33" t="n">
        <f aca="false">$B493-$E493</f>
        <v>0</v>
      </c>
      <c r="J493" s="9" t="n">
        <f aca="false">$F493-$C493</f>
        <v>485</v>
      </c>
      <c r="K493" s="6" t="str">
        <f aca="false">IF($E493=0,"—",IF($G493&gt;=Comm_Slab2_Start,"0.0325% of sell value","0.0175 paisa per share"))</f>
        <v>0.0325% of sell value</v>
      </c>
      <c r="L493" s="9" t="n">
        <f aca="false">IF($E493=0,0,IF($G493&gt;=Comm_Slab2_Start,$F493*Comm_Slab2_Rate,$E493*Comm_Slab1_Paisa/Paisa_Per_PKR))</f>
        <v>269.46075</v>
      </c>
      <c r="M493" s="9" t="n">
        <f aca="false">$L493*SST_Rate</f>
        <v>35.0298975</v>
      </c>
      <c r="N493" s="9" t="n">
        <f aca="false">$L493+$M493</f>
        <v>304.4906475</v>
      </c>
      <c r="O493" s="9" t="n">
        <f aca="false">$J493-$N493</f>
        <v>180.5093525</v>
      </c>
      <c r="P493" s="10" t="n">
        <f aca="false">IF($C493=0,"N/A",$O493/$C493)</f>
        <v>0.000217842030472168</v>
      </c>
    </row>
    <row r="494" customFormat="false" ht="15" hidden="false" customHeight="false" outlineLevel="0" collapsed="false">
      <c r="A494" s="6" t="s">
        <v>113</v>
      </c>
      <c r="B494" s="33" t="n">
        <v>5000</v>
      </c>
      <c r="C494" s="33" t="n">
        <v>393480</v>
      </c>
      <c r="D494" s="9" t="n">
        <f aca="false">IF($B494=0,"",$C494/$B494)</f>
        <v>78.696</v>
      </c>
      <c r="E494" s="33" t="n">
        <v>5000</v>
      </c>
      <c r="F494" s="6" t="n">
        <v>393815</v>
      </c>
      <c r="G494" s="9" t="n">
        <f aca="false">IF($E494=0,"",$F494/$E494)</f>
        <v>78.763</v>
      </c>
      <c r="H494" s="9" t="n">
        <f aca="false">IF(OR($B494=0,$E494=0),"N/A",$G494-$D494)</f>
        <v>0.0670000000000073</v>
      </c>
      <c r="I494" s="33" t="n">
        <f aca="false">$B494-$E494</f>
        <v>0</v>
      </c>
      <c r="J494" s="9" t="n">
        <f aca="false">$F494-$C494</f>
        <v>335</v>
      </c>
      <c r="K494" s="6" t="str">
        <f aca="false">IF($E494=0,"—",IF($G494&gt;=Comm_Slab2_Start,"0.0325% of sell value","0.0175 paisa per share"))</f>
        <v>0.0325% of sell value</v>
      </c>
      <c r="L494" s="9" t="n">
        <f aca="false">IF($E494=0,0,IF($G494&gt;=Comm_Slab2_Start,$F494*Comm_Slab2_Rate,$E494*Comm_Slab1_Paisa/Paisa_Per_PKR))</f>
        <v>127.989875</v>
      </c>
      <c r="M494" s="9" t="n">
        <f aca="false">$L494*SST_Rate</f>
        <v>16.63868375</v>
      </c>
      <c r="N494" s="9" t="n">
        <f aca="false">$L494+$M494</f>
        <v>144.62855875</v>
      </c>
      <c r="O494" s="9" t="n">
        <f aca="false">$J494-$N494</f>
        <v>190.37144125</v>
      </c>
      <c r="P494" s="10" t="n">
        <f aca="false">IF($C494=0,"N/A",$O494/$C494)</f>
        <v>0.000483814784105927</v>
      </c>
    </row>
    <row r="495" customFormat="false" ht="15" hidden="false" customHeight="false" outlineLevel="0" collapsed="false">
      <c r="A495" s="29" t="s">
        <v>42</v>
      </c>
      <c r="B495" s="50" t="n">
        <f aca="false">SUM(B484:B494)</f>
        <v>94719</v>
      </c>
      <c r="C495" s="50" t="n">
        <f aca="false">SUM(C484:C494)</f>
        <v>14436905.94</v>
      </c>
      <c r="D495" s="51" t="n">
        <f aca="false">IF($B495=0,"",$C495/$B495)</f>
        <v>152.4182681405</v>
      </c>
      <c r="E495" s="50" t="n">
        <f aca="false">SUM(E484:E494)</f>
        <v>94719</v>
      </c>
      <c r="F495" s="29" t="n">
        <f aca="false">SUM(F484:F494)</f>
        <v>14447051.46</v>
      </c>
      <c r="G495" s="51" t="n">
        <f aca="false">IF($E495=0,"",$F495/$E495)</f>
        <v>152.525379913217</v>
      </c>
      <c r="H495" s="51" t="n">
        <f aca="false">IF(OR($B495=0,$E495=0),"N/A",$G495-$D495)</f>
        <v>0.107111772717218</v>
      </c>
      <c r="I495" s="50" t="n">
        <f aca="false">$B495-$E495</f>
        <v>0</v>
      </c>
      <c r="J495" s="51" t="n">
        <f aca="false">SUM(J484:J494)</f>
        <v>10145.52</v>
      </c>
      <c r="K495" s="29"/>
      <c r="L495" s="51" t="n">
        <f aca="false">SUM(L484:L494)</f>
        <v>4695.2917245</v>
      </c>
      <c r="M495" s="51" t="n">
        <f aca="false">SUM(M484:M494)</f>
        <v>610.387924185</v>
      </c>
      <c r="N495" s="51" t="n">
        <f aca="false">$L495+$M495</f>
        <v>5305.679648685</v>
      </c>
      <c r="O495" s="51" t="n">
        <f aca="false">SUM(O484:O494)</f>
        <v>4839.84035131502</v>
      </c>
      <c r="P495" s="52" t="n">
        <f aca="false">IF($C495=0,"N/A",$O495/$C495)</f>
        <v>0.000335240831479367</v>
      </c>
    </row>
    <row r="498" customFormat="false" ht="19.7" hidden="false" customHeight="false" outlineLevel="0" collapsed="false">
      <c r="A498" s="1" t="s">
        <v>193</v>
      </c>
    </row>
    <row r="499" customFormat="false" ht="15" hidden="false" customHeight="false" outlineLevel="0" collapsed="false">
      <c r="A499" s="2" t="s">
        <v>132</v>
      </c>
      <c r="D499" s="31" t="s">
        <v>133</v>
      </c>
    </row>
    <row r="500" customFormat="false" ht="15" hidden="false" customHeight="false" outlineLevel="0" collapsed="false">
      <c r="A500" s="3" t="s">
        <v>134</v>
      </c>
      <c r="B500" s="27" t="n">
        <v>46293</v>
      </c>
      <c r="D500" s="3" t="s">
        <v>135</v>
      </c>
      <c r="E500" s="47" t="n">
        <f aca="false">C521</f>
        <v>15324771</v>
      </c>
    </row>
    <row r="501" customFormat="false" ht="15" hidden="false" customHeight="false" outlineLevel="0" collapsed="false">
      <c r="A501" s="3" t="s">
        <v>136</v>
      </c>
      <c r="B501" s="28" t="s">
        <v>137</v>
      </c>
      <c r="D501" s="3" t="s">
        <v>138</v>
      </c>
      <c r="E501" s="47" t="n">
        <f aca="false">F521</f>
        <v>15336029.44</v>
      </c>
    </row>
    <row r="502" customFormat="false" ht="15" hidden="false" customHeight="false" outlineLevel="0" collapsed="false">
      <c r="A502" s="3" t="s">
        <v>139</v>
      </c>
      <c r="B502" s="28" t="s">
        <v>151</v>
      </c>
      <c r="D502" s="3" t="s">
        <v>11</v>
      </c>
      <c r="E502" s="47" t="n">
        <f aca="false">J521</f>
        <v>11258.4399999997</v>
      </c>
    </row>
    <row r="503" customFormat="false" ht="15" hidden="false" customHeight="false" outlineLevel="0" collapsed="false">
      <c r="A503" s="3" t="s">
        <v>141</v>
      </c>
      <c r="B503" s="28" t="s">
        <v>142</v>
      </c>
      <c r="D503" s="3" t="s">
        <v>13</v>
      </c>
      <c r="E503" s="47" t="n">
        <f aca="false">L521</f>
        <v>4771.093818</v>
      </c>
    </row>
    <row r="504" customFormat="false" ht="15" hidden="false" customHeight="false" outlineLevel="0" collapsed="false">
      <c r="A504" s="3" t="s">
        <v>143</v>
      </c>
      <c r="B504" s="28" t="s">
        <v>144</v>
      </c>
      <c r="D504" s="3" t="s">
        <v>15</v>
      </c>
      <c r="E504" s="47" t="n">
        <f aca="false">M521</f>
        <v>620.24219634</v>
      </c>
    </row>
    <row r="505" customFormat="false" ht="15" hidden="false" customHeight="false" outlineLevel="0" collapsed="false">
      <c r="A505" s="3" t="s">
        <v>145</v>
      </c>
      <c r="B505" s="28" t="s">
        <v>194</v>
      </c>
      <c r="D505" s="3" t="s">
        <v>147</v>
      </c>
      <c r="E505" s="47" t="n">
        <f aca="false">N521</f>
        <v>5391.33601434</v>
      </c>
    </row>
    <row r="506" customFormat="false" ht="15" hidden="false" customHeight="false" outlineLevel="0" collapsed="false">
      <c r="D506" s="3" t="s">
        <v>16</v>
      </c>
      <c r="E506" s="47" t="n">
        <f aca="false">O521</f>
        <v>5867.10398565965</v>
      </c>
    </row>
    <row r="507" customFormat="false" ht="15" hidden="false" customHeight="false" outlineLevel="0" collapsed="false">
      <c r="D507" s="3" t="s">
        <v>8</v>
      </c>
      <c r="E507" s="48" t="n">
        <f aca="false">P521</f>
        <v>0.000382851005451217</v>
      </c>
    </row>
    <row r="508" customFormat="false" ht="15" hidden="false" customHeight="false" outlineLevel="0" collapsed="false">
      <c r="D508" s="3" t="s">
        <v>148</v>
      </c>
      <c r="E508" s="49" t="n">
        <f aca="false">I521</f>
        <v>0</v>
      </c>
    </row>
    <row r="509" customFormat="false" ht="15" hidden="false" customHeight="false" outlineLevel="0" collapsed="false">
      <c r="A509" s="31" t="s">
        <v>149</v>
      </c>
    </row>
    <row r="510" customFormat="false" ht="30" hidden="false" customHeight="true" outlineLevel="0" collapsed="false">
      <c r="A510" s="18" t="s">
        <v>71</v>
      </c>
      <c r="B510" s="18" t="s">
        <v>33</v>
      </c>
      <c r="C510" s="18" t="s">
        <v>36</v>
      </c>
      <c r="D510" s="18" t="s">
        <v>60</v>
      </c>
      <c r="E510" s="18" t="s">
        <v>34</v>
      </c>
      <c r="F510" s="18" t="s">
        <v>37</v>
      </c>
      <c r="G510" s="18" t="s">
        <v>61</v>
      </c>
      <c r="H510" s="18" t="s">
        <v>62</v>
      </c>
      <c r="I510" s="18" t="s">
        <v>35</v>
      </c>
      <c r="J510" s="18" t="s">
        <v>38</v>
      </c>
      <c r="K510" s="18" t="s">
        <v>63</v>
      </c>
      <c r="L510" s="18" t="s">
        <v>39</v>
      </c>
      <c r="M510" s="18" t="s">
        <v>64</v>
      </c>
      <c r="N510" s="18" t="s">
        <v>41</v>
      </c>
      <c r="O510" s="18" t="s">
        <v>7</v>
      </c>
      <c r="P510" s="18" t="s">
        <v>8</v>
      </c>
    </row>
    <row r="511" customFormat="false" ht="15" hidden="false" customHeight="false" outlineLevel="0" collapsed="false">
      <c r="A511" s="6" t="s">
        <v>86</v>
      </c>
      <c r="B511" s="33" t="n">
        <v>500</v>
      </c>
      <c r="C511" s="33" t="n">
        <v>584340</v>
      </c>
      <c r="D511" s="9" t="n">
        <f aca="false">IF($B511=0,"",$C511/$B511)</f>
        <v>1168.68</v>
      </c>
      <c r="E511" s="33" t="n">
        <v>500</v>
      </c>
      <c r="F511" s="6" t="n">
        <v>585000</v>
      </c>
      <c r="G511" s="9" t="n">
        <f aca="false">IF($E511=0,"",$F511/$E511)</f>
        <v>1170</v>
      </c>
      <c r="H511" s="9" t="n">
        <f aca="false">IF(OR($B511=0,$E511=0),"N/A",$G511-$D511)</f>
        <v>1.31999999999994</v>
      </c>
      <c r="I511" s="33" t="n">
        <f aca="false">$B511-$E511</f>
        <v>0</v>
      </c>
      <c r="J511" s="9" t="n">
        <f aca="false">$F511-$C511</f>
        <v>660</v>
      </c>
      <c r="K511" s="6" t="str">
        <f aca="false">IF($E511=0,"—",IF($G511&gt;=Comm_Slab2_Start,"0.0325% of sell value","0.0175 paisa per share"))</f>
        <v>0.0325% of sell value</v>
      </c>
      <c r="L511" s="9" t="n">
        <f aca="false">IF($E511=0,0,IF($G511&gt;=Comm_Slab2_Start,$F511*Comm_Slab2_Rate,$E511*Comm_Slab1_Paisa/Paisa_Per_PKR))</f>
        <v>190.125</v>
      </c>
      <c r="M511" s="9" t="n">
        <f aca="false">$L511*SST_Rate</f>
        <v>24.71625</v>
      </c>
      <c r="N511" s="9" t="n">
        <f aca="false">$L511+$M511</f>
        <v>214.84125</v>
      </c>
      <c r="O511" s="9" t="n">
        <f aca="false">$J511-$N511</f>
        <v>445.15875</v>
      </c>
      <c r="P511" s="10" t="n">
        <f aca="false">IF($C511=0,"N/A",$O511/$C511)</f>
        <v>0.000761814611356402</v>
      </c>
    </row>
    <row r="512" customFormat="false" ht="15" hidden="false" customHeight="false" outlineLevel="0" collapsed="false">
      <c r="A512" s="6" t="s">
        <v>117</v>
      </c>
      <c r="B512" s="33" t="n">
        <v>20000</v>
      </c>
      <c r="C512" s="33" t="n">
        <v>667410</v>
      </c>
      <c r="D512" s="9" t="n">
        <f aca="false">IF($B512=0,"",$C512/$B512)</f>
        <v>33.3705</v>
      </c>
      <c r="E512" s="33" t="n">
        <v>20000</v>
      </c>
      <c r="F512" s="6" t="n">
        <v>666510</v>
      </c>
      <c r="G512" s="9" t="n">
        <f aca="false">IF($E512=0,"",$F512/$E512)</f>
        <v>33.3255</v>
      </c>
      <c r="H512" s="9" t="n">
        <f aca="false">IF(OR($B512=0,$E512=0),"N/A",$G512-$D512)</f>
        <v>-0.0450000000000017</v>
      </c>
      <c r="I512" s="33" t="n">
        <f aca="false">$B512-$E512</f>
        <v>0</v>
      </c>
      <c r="J512" s="9" t="n">
        <f aca="false">$F512-$C512</f>
        <v>-900</v>
      </c>
      <c r="K512" s="6" t="str">
        <f aca="false">IF($E512=0,"—",IF($G512&gt;=Comm_Slab2_Start,"0.0325% of sell value","0.0175 paisa per share"))</f>
        <v>0.0175 paisa per share</v>
      </c>
      <c r="L512" s="9" t="n">
        <f aca="false">IF($E512=0,0,IF($G512&gt;=Comm_Slab2_Start,$F512*Comm_Slab2_Rate,$E512*Comm_Slab1_Paisa/Paisa_Per_PKR))</f>
        <v>3.5</v>
      </c>
      <c r="M512" s="9" t="n">
        <f aca="false">$L512*SST_Rate</f>
        <v>0.455</v>
      </c>
      <c r="N512" s="9" t="n">
        <f aca="false">$L512+$M512</f>
        <v>3.955</v>
      </c>
      <c r="O512" s="9" t="n">
        <f aca="false">$J512-$N512</f>
        <v>-903.955</v>
      </c>
      <c r="P512" s="10" t="n">
        <f aca="false">IF($C512=0,"N/A",$O512/$C512)</f>
        <v>-0.00135442231911419</v>
      </c>
    </row>
    <row r="513" customFormat="false" ht="15" hidden="false" customHeight="false" outlineLevel="0" collapsed="false">
      <c r="A513" s="6" t="s">
        <v>120</v>
      </c>
      <c r="B513" s="33" t="n">
        <v>5000</v>
      </c>
      <c r="C513" s="33" t="n">
        <v>294750</v>
      </c>
      <c r="D513" s="9" t="n">
        <f aca="false">IF($B513=0,"",$C513/$B513)</f>
        <v>58.95</v>
      </c>
      <c r="E513" s="33" t="n">
        <v>5000</v>
      </c>
      <c r="F513" s="6" t="n">
        <v>294348.59</v>
      </c>
      <c r="G513" s="9" t="n">
        <f aca="false">IF($E513=0,"",$F513/$E513)</f>
        <v>58.869718</v>
      </c>
      <c r="H513" s="9" t="n">
        <f aca="false">IF(OR($B513=0,$E513=0),"N/A",$G513-$D513)</f>
        <v>-0.0802819999999969</v>
      </c>
      <c r="I513" s="33" t="n">
        <f aca="false">$B513-$E513</f>
        <v>0</v>
      </c>
      <c r="J513" s="9" t="n">
        <f aca="false">$F513-$C513</f>
        <v>-401.409999999974</v>
      </c>
      <c r="K513" s="6" t="str">
        <f aca="false">IF($E513=0,"—",IF($G513&gt;=Comm_Slab2_Start,"0.0325% of sell value","0.0175 paisa per share"))</f>
        <v>0.0325% of sell value</v>
      </c>
      <c r="L513" s="9" t="n">
        <f aca="false">IF($E513=0,0,IF($G513&gt;=Comm_Slab2_Start,$F513*Comm_Slab2_Rate,$E513*Comm_Slab1_Paisa/Paisa_Per_PKR))</f>
        <v>95.66329175</v>
      </c>
      <c r="M513" s="9" t="n">
        <f aca="false">$L513*SST_Rate</f>
        <v>12.4362279275</v>
      </c>
      <c r="N513" s="9" t="n">
        <f aca="false">$L513+$M513</f>
        <v>108.0995196775</v>
      </c>
      <c r="O513" s="9" t="n">
        <f aca="false">$J513-$N513</f>
        <v>-509.509519677474</v>
      </c>
      <c r="P513" s="10" t="n">
        <f aca="false">IF($C513=0,"N/A",$O513/$C513)</f>
        <v>-0.0017286158428413</v>
      </c>
    </row>
    <row r="514" customFormat="false" ht="15" hidden="false" customHeight="false" outlineLevel="0" collapsed="false">
      <c r="A514" s="6" t="s">
        <v>90</v>
      </c>
      <c r="B514" s="33" t="n">
        <v>5000</v>
      </c>
      <c r="C514" s="33" t="n">
        <v>313050</v>
      </c>
      <c r="D514" s="9" t="n">
        <f aca="false">IF($B514=0,"",$C514/$B514)</f>
        <v>62.61</v>
      </c>
      <c r="E514" s="33" t="n">
        <v>5000</v>
      </c>
      <c r="F514" s="6" t="n">
        <v>315500</v>
      </c>
      <c r="G514" s="9" t="n">
        <f aca="false">IF($E514=0,"",$F514/$E514)</f>
        <v>63.1</v>
      </c>
      <c r="H514" s="9" t="n">
        <f aca="false">IF(OR($B514=0,$E514=0),"N/A",$G514-$D514)</f>
        <v>0.490000000000002</v>
      </c>
      <c r="I514" s="33" t="n">
        <f aca="false">$B514-$E514</f>
        <v>0</v>
      </c>
      <c r="J514" s="9" t="n">
        <f aca="false">$F514-$C514</f>
        <v>2450</v>
      </c>
      <c r="K514" s="6" t="str">
        <f aca="false">IF($E514=0,"—",IF($G514&gt;=Comm_Slab2_Start,"0.0325% of sell value","0.0175 paisa per share"))</f>
        <v>0.0325% of sell value</v>
      </c>
      <c r="L514" s="9" t="n">
        <f aca="false">IF($E514=0,0,IF($G514&gt;=Comm_Slab2_Start,$F514*Comm_Slab2_Rate,$E514*Comm_Slab1_Paisa/Paisa_Per_PKR))</f>
        <v>102.5375</v>
      </c>
      <c r="M514" s="9" t="n">
        <f aca="false">$L514*SST_Rate</f>
        <v>13.329875</v>
      </c>
      <c r="N514" s="9" t="n">
        <f aca="false">$L514+$M514</f>
        <v>115.867375</v>
      </c>
      <c r="O514" s="9" t="n">
        <f aca="false">$J514-$N514</f>
        <v>2334.132625</v>
      </c>
      <c r="P514" s="10" t="n">
        <f aca="false">IF($C514=0,"N/A",$O514/$C514)</f>
        <v>0.00745610166107651</v>
      </c>
    </row>
    <row r="515" customFormat="false" ht="15" hidden="false" customHeight="false" outlineLevel="0" collapsed="false">
      <c r="A515" s="6" t="s">
        <v>121</v>
      </c>
      <c r="B515" s="33" t="n">
        <v>500</v>
      </c>
      <c r="C515" s="33" t="n">
        <v>284450</v>
      </c>
      <c r="D515" s="9" t="n">
        <f aca="false">IF($B515=0,"",$C515/$B515)</f>
        <v>568.9</v>
      </c>
      <c r="E515" s="33" t="n">
        <v>500</v>
      </c>
      <c r="F515" s="6" t="n">
        <v>284500</v>
      </c>
      <c r="G515" s="9" t="n">
        <f aca="false">IF($E515=0,"",$F515/$E515)</f>
        <v>569</v>
      </c>
      <c r="H515" s="9" t="n">
        <f aca="false">IF(OR($B515=0,$E515=0),"N/A",$G515-$D515)</f>
        <v>0.100000000000023</v>
      </c>
      <c r="I515" s="33" t="n">
        <f aca="false">$B515-$E515</f>
        <v>0</v>
      </c>
      <c r="J515" s="9" t="n">
        <f aca="false">$F515-$C515</f>
        <v>50</v>
      </c>
      <c r="K515" s="6" t="str">
        <f aca="false">IF($E515=0,"—",IF($G515&gt;=Comm_Slab2_Start,"0.0325% of sell value","0.0175 paisa per share"))</f>
        <v>0.0325% of sell value</v>
      </c>
      <c r="L515" s="9" t="n">
        <f aca="false">IF($E515=0,0,IF($G515&gt;=Comm_Slab2_Start,$F515*Comm_Slab2_Rate,$E515*Comm_Slab1_Paisa/Paisa_Per_PKR))</f>
        <v>92.4625</v>
      </c>
      <c r="M515" s="9" t="n">
        <f aca="false">$L515*SST_Rate</f>
        <v>12.020125</v>
      </c>
      <c r="N515" s="9" t="n">
        <f aca="false">$L515+$M515</f>
        <v>104.482625</v>
      </c>
      <c r="O515" s="9" t="n">
        <f aca="false">$J515-$N515</f>
        <v>-54.482625</v>
      </c>
      <c r="P515" s="10" t="n">
        <f aca="false">IF($C515=0,"N/A",$O515/$C515)</f>
        <v>-0.000191536737563719</v>
      </c>
    </row>
    <row r="516" customFormat="false" ht="15" hidden="false" customHeight="false" outlineLevel="0" collapsed="false">
      <c r="A516" s="6" t="s">
        <v>80</v>
      </c>
      <c r="B516" s="33" t="n">
        <v>5000</v>
      </c>
      <c r="C516" s="33" t="n">
        <v>2866585</v>
      </c>
      <c r="D516" s="9" t="n">
        <f aca="false">IF($B516=0,"",$C516/$B516)</f>
        <v>573.317</v>
      </c>
      <c r="E516" s="33" t="n">
        <v>5000</v>
      </c>
      <c r="F516" s="6" t="n">
        <v>2865470</v>
      </c>
      <c r="G516" s="9" t="n">
        <f aca="false">IF($E516=0,"",$F516/$E516)</f>
        <v>573.094</v>
      </c>
      <c r="H516" s="9" t="n">
        <f aca="false">IF(OR($B516=0,$E516=0),"N/A",$G516-$D516)</f>
        <v>-0.222999999999956</v>
      </c>
      <c r="I516" s="33" t="n">
        <f aca="false">$B516-$E516</f>
        <v>0</v>
      </c>
      <c r="J516" s="9" t="n">
        <f aca="false">$F516-$C516</f>
        <v>-1115</v>
      </c>
      <c r="K516" s="6" t="str">
        <f aca="false">IF($E516=0,"—",IF($G516&gt;=Comm_Slab2_Start,"0.0325% of sell value","0.0175 paisa per share"))</f>
        <v>0.0325% of sell value</v>
      </c>
      <c r="L516" s="9" t="n">
        <f aca="false">IF($E516=0,0,IF($G516&gt;=Comm_Slab2_Start,$F516*Comm_Slab2_Rate,$E516*Comm_Slab1_Paisa/Paisa_Per_PKR))</f>
        <v>931.27775</v>
      </c>
      <c r="M516" s="9" t="n">
        <f aca="false">$L516*SST_Rate</f>
        <v>121.0661075</v>
      </c>
      <c r="N516" s="9" t="n">
        <f aca="false">$L516+$M516</f>
        <v>1052.3438575</v>
      </c>
      <c r="O516" s="9" t="n">
        <f aca="false">$J516-$N516</f>
        <v>-2167.3438575</v>
      </c>
      <c r="P516" s="10" t="n">
        <f aca="false">IF($C516=0,"N/A",$O516/$C516)</f>
        <v>-0.000756071722101386</v>
      </c>
    </row>
    <row r="517" customFormat="false" ht="15" hidden="false" customHeight="false" outlineLevel="0" collapsed="false">
      <c r="A517" s="6" t="s">
        <v>75</v>
      </c>
      <c r="B517" s="33" t="n">
        <v>50000</v>
      </c>
      <c r="C517" s="33" t="n">
        <v>4738061</v>
      </c>
      <c r="D517" s="9" t="n">
        <f aca="false">IF($B517=0,"",$C517/$B517)</f>
        <v>94.76122</v>
      </c>
      <c r="E517" s="33" t="n">
        <v>50000</v>
      </c>
      <c r="F517" s="6" t="n">
        <v>4747450.85</v>
      </c>
      <c r="G517" s="9" t="n">
        <f aca="false">IF($E517=0,"",$F517/$E517)</f>
        <v>94.949017</v>
      </c>
      <c r="H517" s="9" t="n">
        <f aca="false">IF(OR($B517=0,$E517=0),"N/A",$G517-$D517)</f>
        <v>0.187797000000003</v>
      </c>
      <c r="I517" s="33" t="n">
        <f aca="false">$B517-$E517</f>
        <v>0</v>
      </c>
      <c r="J517" s="9" t="n">
        <f aca="false">$F517-$C517</f>
        <v>9389.84999999963</v>
      </c>
      <c r="K517" s="6" t="str">
        <f aca="false">IF($E517=0,"—",IF($G517&gt;=Comm_Slab2_Start,"0.0325% of sell value","0.0175 paisa per share"))</f>
        <v>0.0325% of sell value</v>
      </c>
      <c r="L517" s="9" t="n">
        <f aca="false">IF($E517=0,0,IF($G517&gt;=Comm_Slab2_Start,$F517*Comm_Slab2_Rate,$E517*Comm_Slab1_Paisa/Paisa_Per_PKR))</f>
        <v>1542.92152625</v>
      </c>
      <c r="M517" s="9" t="n">
        <f aca="false">$L517*SST_Rate</f>
        <v>200.5797984125</v>
      </c>
      <c r="N517" s="9" t="n">
        <f aca="false">$L517+$M517</f>
        <v>1743.5013246625</v>
      </c>
      <c r="O517" s="9" t="n">
        <f aca="false">$J517-$N517</f>
        <v>7646.34867533713</v>
      </c>
      <c r="P517" s="10" t="n">
        <f aca="false">IF($C517=0,"N/A",$O517/$C517)</f>
        <v>0.00161381389461578</v>
      </c>
    </row>
    <row r="518" customFormat="false" ht="15" hidden="false" customHeight="false" outlineLevel="0" collapsed="false">
      <c r="A518" s="6" t="s">
        <v>79</v>
      </c>
      <c r="B518" s="33" t="n">
        <v>41500</v>
      </c>
      <c r="C518" s="33" t="n">
        <v>3950915</v>
      </c>
      <c r="D518" s="9" t="n">
        <f aca="false">IF($B518=0,"",$C518/$B518)</f>
        <v>95.2027710843373</v>
      </c>
      <c r="E518" s="33" t="n">
        <v>41500</v>
      </c>
      <c r="F518" s="6" t="n">
        <v>3947775</v>
      </c>
      <c r="G518" s="9" t="n">
        <f aca="false">IF($E518=0,"",$F518/$E518)</f>
        <v>95.127108433735</v>
      </c>
      <c r="H518" s="9" t="n">
        <f aca="false">IF(OR($B518=0,$E518=0),"N/A",$G518-$D518)</f>
        <v>-0.0756626506023963</v>
      </c>
      <c r="I518" s="33" t="n">
        <f aca="false">$B518-$E518</f>
        <v>0</v>
      </c>
      <c r="J518" s="9" t="n">
        <f aca="false">$F518-$C518</f>
        <v>-3140</v>
      </c>
      <c r="K518" s="6" t="str">
        <f aca="false">IF($E518=0,"—",IF($G518&gt;=Comm_Slab2_Start,"0.0325% of sell value","0.0175 paisa per share"))</f>
        <v>0.0325% of sell value</v>
      </c>
      <c r="L518" s="9" t="n">
        <f aca="false">IF($E518=0,0,IF($G518&gt;=Comm_Slab2_Start,$F518*Comm_Slab2_Rate,$E518*Comm_Slab1_Paisa/Paisa_Per_PKR))</f>
        <v>1283.026875</v>
      </c>
      <c r="M518" s="9" t="n">
        <f aca="false">$L518*SST_Rate</f>
        <v>166.79349375</v>
      </c>
      <c r="N518" s="9" t="n">
        <f aca="false">$L518+$M518</f>
        <v>1449.82036875</v>
      </c>
      <c r="O518" s="9" t="n">
        <f aca="false">$J518-$N518</f>
        <v>-4589.82036875</v>
      </c>
      <c r="P518" s="10" t="n">
        <f aca="false">IF($C518=0,"N/A",$O518/$C518)</f>
        <v>-0.00116171073504492</v>
      </c>
    </row>
    <row r="519" customFormat="false" ht="15" hidden="false" customHeight="false" outlineLevel="0" collapsed="false">
      <c r="A519" s="6" t="s">
        <v>84</v>
      </c>
      <c r="B519" s="33" t="n">
        <v>2500</v>
      </c>
      <c r="C519" s="33" t="n">
        <v>894845</v>
      </c>
      <c r="D519" s="9" t="n">
        <f aca="false">IF($B519=0,"",$C519/$B519)</f>
        <v>357.938</v>
      </c>
      <c r="E519" s="33" t="n">
        <v>2500</v>
      </c>
      <c r="F519" s="6" t="n">
        <v>897475</v>
      </c>
      <c r="G519" s="9" t="n">
        <f aca="false">IF($E519=0,"",$F519/$E519)</f>
        <v>358.99</v>
      </c>
      <c r="H519" s="9" t="n">
        <f aca="false">IF(OR($B519=0,$E519=0),"N/A",$G519-$D519)</f>
        <v>1.05200000000002</v>
      </c>
      <c r="I519" s="33" t="n">
        <f aca="false">$B519-$E519</f>
        <v>0</v>
      </c>
      <c r="J519" s="9" t="n">
        <f aca="false">$F519-$C519</f>
        <v>2630</v>
      </c>
      <c r="K519" s="6" t="str">
        <f aca="false">IF($E519=0,"—",IF($G519&gt;=Comm_Slab2_Start,"0.0325% of sell value","0.0175 paisa per share"))</f>
        <v>0.0325% of sell value</v>
      </c>
      <c r="L519" s="9" t="n">
        <f aca="false">IF($E519=0,0,IF($G519&gt;=Comm_Slab2_Start,$F519*Comm_Slab2_Rate,$E519*Comm_Slab1_Paisa/Paisa_Per_PKR))</f>
        <v>291.679375</v>
      </c>
      <c r="M519" s="9" t="n">
        <f aca="false">$L519*SST_Rate</f>
        <v>37.91831875</v>
      </c>
      <c r="N519" s="9" t="n">
        <f aca="false">$L519+$M519</f>
        <v>329.59769375</v>
      </c>
      <c r="O519" s="9" t="n">
        <f aca="false">$J519-$N519</f>
        <v>2300.40230625</v>
      </c>
      <c r="P519" s="10" t="n">
        <f aca="false">IF($C519=0,"N/A",$O519/$C519)</f>
        <v>0.00257072711614861</v>
      </c>
    </row>
    <row r="520" customFormat="false" ht="15" hidden="false" customHeight="false" outlineLevel="0" collapsed="false">
      <c r="A520" s="6" t="s">
        <v>116</v>
      </c>
      <c r="B520" s="33" t="n">
        <v>13000</v>
      </c>
      <c r="C520" s="33" t="n">
        <v>730365</v>
      </c>
      <c r="D520" s="9" t="n">
        <f aca="false">IF($B520=0,"",$C520/$B520)</f>
        <v>56.1819230769231</v>
      </c>
      <c r="E520" s="33" t="n">
        <v>13000</v>
      </c>
      <c r="F520" s="6" t="n">
        <v>732000</v>
      </c>
      <c r="G520" s="9" t="n">
        <f aca="false">IF($E520=0,"",$F520/$E520)</f>
        <v>56.3076923076923</v>
      </c>
      <c r="H520" s="9" t="n">
        <f aca="false">IF(OR($B520=0,$E520=0),"N/A",$G520-$D520)</f>
        <v>0.12576923076923</v>
      </c>
      <c r="I520" s="33" t="n">
        <f aca="false">$B520-$E520</f>
        <v>0</v>
      </c>
      <c r="J520" s="9" t="n">
        <f aca="false">$F520-$C520</f>
        <v>1635</v>
      </c>
      <c r="K520" s="6" t="str">
        <f aca="false">IF($E520=0,"—",IF($G520&gt;=Comm_Slab2_Start,"0.0325% of sell value","0.0175 paisa per share"))</f>
        <v>0.0325% of sell value</v>
      </c>
      <c r="L520" s="9" t="n">
        <f aca="false">IF($E520=0,0,IF($G520&gt;=Comm_Slab2_Start,$F520*Comm_Slab2_Rate,$E520*Comm_Slab1_Paisa/Paisa_Per_PKR))</f>
        <v>237.9</v>
      </c>
      <c r="M520" s="9" t="n">
        <f aca="false">$L520*SST_Rate</f>
        <v>30.927</v>
      </c>
      <c r="N520" s="9" t="n">
        <f aca="false">$L520+$M520</f>
        <v>268.827</v>
      </c>
      <c r="O520" s="9" t="n">
        <f aca="false">$J520-$N520</f>
        <v>1366.173</v>
      </c>
      <c r="P520" s="10" t="n">
        <f aca="false">IF($C520=0,"N/A",$O520/$C520)</f>
        <v>0.00187053459571584</v>
      </c>
    </row>
    <row r="521" customFormat="false" ht="15" hidden="false" customHeight="false" outlineLevel="0" collapsed="false">
      <c r="A521" s="29" t="s">
        <v>42</v>
      </c>
      <c r="B521" s="50" t="n">
        <f aca="false">SUM(B511:B520)</f>
        <v>143000</v>
      </c>
      <c r="C521" s="50" t="n">
        <f aca="false">SUM(C511:C520)</f>
        <v>15324771</v>
      </c>
      <c r="D521" s="51" t="n">
        <f aca="false">IF($B521=0,"",$C521/$B521)</f>
        <v>107.166230769231</v>
      </c>
      <c r="E521" s="50" t="n">
        <f aca="false">SUM(E511:E520)</f>
        <v>143000</v>
      </c>
      <c r="F521" s="29" t="n">
        <f aca="false">SUM(F511:F520)</f>
        <v>15336029.44</v>
      </c>
      <c r="G521" s="51" t="n">
        <f aca="false">IF($E521=0,"",$F521/$E521)</f>
        <v>107.244961118881</v>
      </c>
      <c r="H521" s="51" t="n">
        <f aca="false">IF(OR($B521=0,$E521=0),"N/A",$G521-$D521)</f>
        <v>0.0787303496503569</v>
      </c>
      <c r="I521" s="50" t="n">
        <f aca="false">$B521-$E521</f>
        <v>0</v>
      </c>
      <c r="J521" s="51" t="n">
        <f aca="false">SUM(J511:J520)</f>
        <v>11258.4399999997</v>
      </c>
      <c r="K521" s="29"/>
      <c r="L521" s="51" t="n">
        <f aca="false">SUM(L511:L520)</f>
        <v>4771.093818</v>
      </c>
      <c r="M521" s="51" t="n">
        <f aca="false">SUM(M511:M520)</f>
        <v>620.24219634</v>
      </c>
      <c r="N521" s="51" t="n">
        <f aca="false">$L521+$M521</f>
        <v>5391.33601434</v>
      </c>
      <c r="O521" s="51" t="n">
        <f aca="false">SUM(O511:O520)</f>
        <v>5867.10398565965</v>
      </c>
      <c r="P521" s="52" t="n">
        <f aca="false">IF($C521=0,"N/A",$O521/$C521)</f>
        <v>0.000382851005451217</v>
      </c>
    </row>
    <row r="524" customFormat="false" ht="19.7" hidden="false" customHeight="false" outlineLevel="0" collapsed="false">
      <c r="A524" s="1" t="s">
        <v>195</v>
      </c>
    </row>
    <row r="525" customFormat="false" ht="15" hidden="false" customHeight="false" outlineLevel="0" collapsed="false">
      <c r="A525" s="2" t="s">
        <v>132</v>
      </c>
      <c r="D525" s="31" t="s">
        <v>133</v>
      </c>
    </row>
    <row r="526" customFormat="false" ht="15" hidden="false" customHeight="false" outlineLevel="0" collapsed="false">
      <c r="A526" s="3" t="s">
        <v>134</v>
      </c>
      <c r="B526" s="27" t="n">
        <v>46294</v>
      </c>
      <c r="D526" s="3" t="s">
        <v>135</v>
      </c>
      <c r="E526" s="47" t="n">
        <f aca="false">C542</f>
        <v>12460825</v>
      </c>
    </row>
    <row r="527" customFormat="false" ht="15" hidden="false" customHeight="false" outlineLevel="0" collapsed="false">
      <c r="A527" s="3" t="s">
        <v>136</v>
      </c>
      <c r="B527" s="28" t="s">
        <v>137</v>
      </c>
      <c r="D527" s="3" t="s">
        <v>138</v>
      </c>
      <c r="E527" s="47" t="n">
        <f aca="false">F542</f>
        <v>12473955</v>
      </c>
    </row>
    <row r="528" customFormat="false" ht="15" hidden="false" customHeight="false" outlineLevel="0" collapsed="false">
      <c r="A528" s="3" t="s">
        <v>139</v>
      </c>
      <c r="B528" s="28" t="s">
        <v>151</v>
      </c>
      <c r="D528" s="3" t="s">
        <v>11</v>
      </c>
      <c r="E528" s="47" t="n">
        <f aca="false">J542</f>
        <v>13130</v>
      </c>
    </row>
    <row r="529" customFormat="false" ht="15" hidden="false" customHeight="false" outlineLevel="0" collapsed="false">
      <c r="A529" s="3" t="s">
        <v>141</v>
      </c>
      <c r="B529" s="28" t="s">
        <v>142</v>
      </c>
      <c r="D529" s="3" t="s">
        <v>13</v>
      </c>
      <c r="E529" s="47" t="n">
        <f aca="false">L542</f>
        <v>4006.77975</v>
      </c>
    </row>
    <row r="530" customFormat="false" ht="15" hidden="false" customHeight="false" outlineLevel="0" collapsed="false">
      <c r="A530" s="3" t="s">
        <v>143</v>
      </c>
      <c r="B530" s="28" t="s">
        <v>144</v>
      </c>
      <c r="D530" s="3" t="s">
        <v>15</v>
      </c>
      <c r="E530" s="47" t="n">
        <f aca="false">M542</f>
        <v>520.8813675</v>
      </c>
    </row>
    <row r="531" customFormat="false" ht="15" hidden="false" customHeight="false" outlineLevel="0" collapsed="false">
      <c r="A531" s="3" t="s">
        <v>145</v>
      </c>
      <c r="B531" s="28" t="s">
        <v>196</v>
      </c>
      <c r="D531" s="3" t="s">
        <v>147</v>
      </c>
      <c r="E531" s="47" t="n">
        <f aca="false">N542</f>
        <v>4527.6611175</v>
      </c>
    </row>
    <row r="532" customFormat="false" ht="15" hidden="false" customHeight="false" outlineLevel="0" collapsed="false">
      <c r="D532" s="3" t="s">
        <v>16</v>
      </c>
      <c r="E532" s="47" t="n">
        <f aca="false">O542</f>
        <v>8602.3388825</v>
      </c>
    </row>
    <row r="533" customFormat="false" ht="15" hidden="false" customHeight="false" outlineLevel="0" collapsed="false">
      <c r="D533" s="3" t="s">
        <v>8</v>
      </c>
      <c r="E533" s="48" t="n">
        <f aca="false">P542</f>
        <v>0.000690350669598522</v>
      </c>
    </row>
    <row r="534" customFormat="false" ht="15" hidden="false" customHeight="false" outlineLevel="0" collapsed="false">
      <c r="D534" s="3" t="s">
        <v>148</v>
      </c>
      <c r="E534" s="49" t="n">
        <f aca="false">I542</f>
        <v>0</v>
      </c>
    </row>
    <row r="535" customFormat="false" ht="15" hidden="false" customHeight="false" outlineLevel="0" collapsed="false">
      <c r="A535" s="31" t="s">
        <v>149</v>
      </c>
    </row>
    <row r="536" customFormat="false" ht="30" hidden="false" customHeight="true" outlineLevel="0" collapsed="false">
      <c r="A536" s="18" t="s">
        <v>71</v>
      </c>
      <c r="B536" s="18" t="s">
        <v>33</v>
      </c>
      <c r="C536" s="18" t="s">
        <v>36</v>
      </c>
      <c r="D536" s="18" t="s">
        <v>60</v>
      </c>
      <c r="E536" s="18" t="s">
        <v>34</v>
      </c>
      <c r="F536" s="18" t="s">
        <v>37</v>
      </c>
      <c r="G536" s="18" t="s">
        <v>61</v>
      </c>
      <c r="H536" s="18" t="s">
        <v>62</v>
      </c>
      <c r="I536" s="18" t="s">
        <v>35</v>
      </c>
      <c r="J536" s="18" t="s">
        <v>38</v>
      </c>
      <c r="K536" s="18" t="s">
        <v>63</v>
      </c>
      <c r="L536" s="18" t="s">
        <v>39</v>
      </c>
      <c r="M536" s="18" t="s">
        <v>64</v>
      </c>
      <c r="N536" s="18" t="s">
        <v>41</v>
      </c>
      <c r="O536" s="18" t="s">
        <v>7</v>
      </c>
      <c r="P536" s="18" t="s">
        <v>8</v>
      </c>
    </row>
    <row r="537" customFormat="false" ht="15" hidden="false" customHeight="false" outlineLevel="0" collapsed="false">
      <c r="A537" s="6" t="s">
        <v>117</v>
      </c>
      <c r="B537" s="33" t="n">
        <v>4500</v>
      </c>
      <c r="C537" s="33" t="n">
        <v>147150</v>
      </c>
      <c r="D537" s="9" t="n">
        <f aca="false">IF($B537=0,"",$C537/$B537)</f>
        <v>32.7</v>
      </c>
      <c r="E537" s="33" t="n">
        <v>4500</v>
      </c>
      <c r="F537" s="6" t="n">
        <v>147825</v>
      </c>
      <c r="G537" s="9" t="n">
        <f aca="false">IF($E537=0,"",$F537/$E537)</f>
        <v>32.85</v>
      </c>
      <c r="H537" s="9" t="n">
        <f aca="false">IF(OR($B537=0,$E537=0),"N/A",$G537-$D537)</f>
        <v>0.149999999999999</v>
      </c>
      <c r="I537" s="33" t="n">
        <f aca="false">$B537-$E537</f>
        <v>0</v>
      </c>
      <c r="J537" s="9" t="n">
        <f aca="false">$F537-$C537</f>
        <v>675</v>
      </c>
      <c r="K537" s="6" t="str">
        <f aca="false">IF($E537=0,"—",IF($G537&gt;=Comm_Slab2_Start,"0.0325% of sell value","0.0175 paisa per share"))</f>
        <v>0.0175 paisa per share</v>
      </c>
      <c r="L537" s="9" t="n">
        <f aca="false">IF($E537=0,0,IF($G537&gt;=Comm_Slab2_Start,$F537*Comm_Slab2_Rate,$E537*Comm_Slab1_Paisa/Paisa_Per_PKR))</f>
        <v>0.7875</v>
      </c>
      <c r="M537" s="9" t="n">
        <f aca="false">$L537*SST_Rate</f>
        <v>0.102375</v>
      </c>
      <c r="N537" s="9" t="n">
        <f aca="false">$L537+$M537</f>
        <v>0.889875</v>
      </c>
      <c r="O537" s="9" t="n">
        <f aca="false">$J537-$N537</f>
        <v>674.110125</v>
      </c>
      <c r="P537" s="10" t="n">
        <f aca="false">IF($C537=0,"N/A",$O537/$C537)</f>
        <v>0.00458110856269113</v>
      </c>
    </row>
    <row r="538" customFormat="false" ht="15" hidden="false" customHeight="false" outlineLevel="0" collapsed="false">
      <c r="A538" s="6" t="s">
        <v>80</v>
      </c>
      <c r="B538" s="33" t="n">
        <v>7500</v>
      </c>
      <c r="C538" s="33" t="n">
        <v>4398130</v>
      </c>
      <c r="D538" s="9" t="n">
        <f aca="false">IF($B538=0,"",$C538/$B538)</f>
        <v>586.417333333333</v>
      </c>
      <c r="E538" s="33" t="n">
        <v>7500</v>
      </c>
      <c r="F538" s="6" t="n">
        <v>4401230</v>
      </c>
      <c r="G538" s="9" t="n">
        <f aca="false">IF($E538=0,"",$F538/$E538)</f>
        <v>586.830666666667</v>
      </c>
      <c r="H538" s="9" t="n">
        <f aca="false">IF(OR($B538=0,$E538=0),"N/A",$G538-$D538)</f>
        <v>0.413333333333298</v>
      </c>
      <c r="I538" s="33" t="n">
        <f aca="false">$B538-$E538</f>
        <v>0</v>
      </c>
      <c r="J538" s="9" t="n">
        <f aca="false">$F538-$C538</f>
        <v>3100</v>
      </c>
      <c r="K538" s="6" t="str">
        <f aca="false">IF($E538=0,"—",IF($G538&gt;=Comm_Slab2_Start,"0.0325% of sell value","0.0175 paisa per share"))</f>
        <v>0.0325% of sell value</v>
      </c>
      <c r="L538" s="9" t="n">
        <f aca="false">IF($E538=0,0,IF($G538&gt;=Comm_Slab2_Start,$F538*Comm_Slab2_Rate,$E538*Comm_Slab1_Paisa/Paisa_Per_PKR))</f>
        <v>1430.39975</v>
      </c>
      <c r="M538" s="9" t="n">
        <f aca="false">$L538*SST_Rate</f>
        <v>185.9519675</v>
      </c>
      <c r="N538" s="9" t="n">
        <f aca="false">$L538+$M538</f>
        <v>1616.3517175</v>
      </c>
      <c r="O538" s="9" t="n">
        <f aca="false">$J538-$N538</f>
        <v>1483.6482825</v>
      </c>
      <c r="P538" s="10" t="n">
        <f aca="false">IF($C538=0,"N/A",$O538/$C538)</f>
        <v>0.000337336159344994</v>
      </c>
    </row>
    <row r="539" customFormat="false" ht="15" hidden="false" customHeight="false" outlineLevel="0" collapsed="false">
      <c r="A539" s="6" t="s">
        <v>75</v>
      </c>
      <c r="B539" s="33" t="n">
        <v>11000</v>
      </c>
      <c r="C539" s="33" t="n">
        <v>1047050</v>
      </c>
      <c r="D539" s="9" t="n">
        <f aca="false">IF($B539=0,"",$C539/$B539)</f>
        <v>95.1863636363636</v>
      </c>
      <c r="E539" s="33" t="n">
        <v>11000</v>
      </c>
      <c r="F539" s="6" t="n">
        <v>1047940</v>
      </c>
      <c r="G539" s="9" t="n">
        <f aca="false">IF($E539=0,"",$F539/$E539)</f>
        <v>95.2672727272727</v>
      </c>
      <c r="H539" s="9" t="n">
        <f aca="false">IF(OR($B539=0,$E539=0),"N/A",$G539-$D539)</f>
        <v>0.0809090909090884</v>
      </c>
      <c r="I539" s="33" t="n">
        <f aca="false">$B539-$E539</f>
        <v>0</v>
      </c>
      <c r="J539" s="9" t="n">
        <f aca="false">$F539-$C539</f>
        <v>890</v>
      </c>
      <c r="K539" s="6" t="str">
        <f aca="false">IF($E539=0,"—",IF($G539&gt;=Comm_Slab2_Start,"0.0325% of sell value","0.0175 paisa per share"))</f>
        <v>0.0325% of sell value</v>
      </c>
      <c r="L539" s="9" t="n">
        <f aca="false">IF($E539=0,0,IF($G539&gt;=Comm_Slab2_Start,$F539*Comm_Slab2_Rate,$E539*Comm_Slab1_Paisa/Paisa_Per_PKR))</f>
        <v>340.5805</v>
      </c>
      <c r="M539" s="9" t="n">
        <f aca="false">$L539*SST_Rate</f>
        <v>44.275465</v>
      </c>
      <c r="N539" s="9" t="n">
        <f aca="false">$L539+$M539</f>
        <v>384.855965</v>
      </c>
      <c r="O539" s="9" t="n">
        <f aca="false">$J539-$N539</f>
        <v>505.144035</v>
      </c>
      <c r="P539" s="10" t="n">
        <f aca="false">IF($C539=0,"N/A",$O539/$C539)</f>
        <v>0.000482444997851106</v>
      </c>
    </row>
    <row r="540" customFormat="false" ht="15" hidden="false" customHeight="false" outlineLevel="0" collapsed="false">
      <c r="A540" s="6" t="s">
        <v>79</v>
      </c>
      <c r="B540" s="33" t="n">
        <v>69000</v>
      </c>
      <c r="C540" s="33" t="n">
        <v>6570995</v>
      </c>
      <c r="D540" s="9" t="n">
        <f aca="false">IF($B540=0,"",$C540/$B540)</f>
        <v>95.2318115942029</v>
      </c>
      <c r="E540" s="33" t="n">
        <v>69000</v>
      </c>
      <c r="F540" s="6" t="n">
        <v>6579460</v>
      </c>
      <c r="G540" s="9" t="n">
        <f aca="false">IF($E540=0,"",$F540/$E540)</f>
        <v>95.3544927536232</v>
      </c>
      <c r="H540" s="9" t="n">
        <f aca="false">IF(OR($B540=0,$E540=0),"N/A",$G540-$D540)</f>
        <v>0.122681159420296</v>
      </c>
      <c r="I540" s="33" t="n">
        <f aca="false">$B540-$E540</f>
        <v>0</v>
      </c>
      <c r="J540" s="9" t="n">
        <f aca="false">$F540-$C540</f>
        <v>8465</v>
      </c>
      <c r="K540" s="6" t="str">
        <f aca="false">IF($E540=0,"—",IF($G540&gt;=Comm_Slab2_Start,"0.0325% of sell value","0.0175 paisa per share"))</f>
        <v>0.0325% of sell value</v>
      </c>
      <c r="L540" s="9" t="n">
        <f aca="false">IF($E540=0,0,IF($G540&gt;=Comm_Slab2_Start,$F540*Comm_Slab2_Rate,$E540*Comm_Slab1_Paisa/Paisa_Per_PKR))</f>
        <v>2138.3245</v>
      </c>
      <c r="M540" s="9" t="n">
        <f aca="false">$L540*SST_Rate</f>
        <v>277.982185</v>
      </c>
      <c r="N540" s="9" t="n">
        <f aca="false">$L540+$M540</f>
        <v>2416.306685</v>
      </c>
      <c r="O540" s="9" t="n">
        <f aca="false">$J540-$N540</f>
        <v>6048.693315</v>
      </c>
      <c r="P540" s="10" t="n">
        <f aca="false">IF($C540=0,"N/A",$O540/$C540)</f>
        <v>0.000920514064460557</v>
      </c>
    </row>
    <row r="541" customFormat="false" ht="15" hidden="false" customHeight="false" outlineLevel="0" collapsed="false">
      <c r="A541" s="6" t="s">
        <v>116</v>
      </c>
      <c r="B541" s="33" t="n">
        <v>5000</v>
      </c>
      <c r="C541" s="33" t="n">
        <v>297500</v>
      </c>
      <c r="D541" s="9" t="n">
        <f aca="false">IF($B541=0,"",$C541/$B541)</f>
        <v>59.5</v>
      </c>
      <c r="E541" s="33" t="n">
        <v>5000</v>
      </c>
      <c r="F541" s="6" t="n">
        <v>297500</v>
      </c>
      <c r="G541" s="9" t="n">
        <f aca="false">IF($E541=0,"",$F541/$E541)</f>
        <v>59.5</v>
      </c>
      <c r="H541" s="9" t="n">
        <f aca="false">IF(OR($B541=0,$E541=0),"N/A",$G541-$D541)</f>
        <v>0</v>
      </c>
      <c r="I541" s="33" t="n">
        <f aca="false">$B541-$E541</f>
        <v>0</v>
      </c>
      <c r="J541" s="9" t="n">
        <f aca="false">$F541-$C541</f>
        <v>0</v>
      </c>
      <c r="K541" s="6" t="str">
        <f aca="false">IF($E541=0,"—",IF($G541&gt;=Comm_Slab2_Start,"0.0325% of sell value","0.0175 paisa per share"))</f>
        <v>0.0325% of sell value</v>
      </c>
      <c r="L541" s="9" t="n">
        <f aca="false">IF($E541=0,0,IF($G541&gt;=Comm_Slab2_Start,$F541*Comm_Slab2_Rate,$E541*Comm_Slab1_Paisa/Paisa_Per_PKR))</f>
        <v>96.6875</v>
      </c>
      <c r="M541" s="9" t="n">
        <f aca="false">$L541*SST_Rate</f>
        <v>12.569375</v>
      </c>
      <c r="N541" s="9" t="n">
        <f aca="false">$L541+$M541</f>
        <v>109.256875</v>
      </c>
      <c r="O541" s="9" t="n">
        <f aca="false">$J541-$N541</f>
        <v>-109.256875</v>
      </c>
      <c r="P541" s="10" t="n">
        <f aca="false">IF($C541=0,"N/A",$O541/$C541)</f>
        <v>-0.00036725</v>
      </c>
    </row>
    <row r="542" customFormat="false" ht="15" hidden="false" customHeight="false" outlineLevel="0" collapsed="false">
      <c r="A542" s="29" t="s">
        <v>42</v>
      </c>
      <c r="B542" s="50" t="n">
        <f aca="false">SUM(B537:B541)</f>
        <v>97000</v>
      </c>
      <c r="C542" s="50" t="n">
        <f aca="false">SUM(C537:C541)</f>
        <v>12460825</v>
      </c>
      <c r="D542" s="51" t="n">
        <f aca="false">IF($B542=0,"",$C542/$B542)</f>
        <v>128.462113402062</v>
      </c>
      <c r="E542" s="50" t="n">
        <f aca="false">SUM(E537:E541)</f>
        <v>97000</v>
      </c>
      <c r="F542" s="29" t="n">
        <f aca="false">SUM(F537:F541)</f>
        <v>12473955</v>
      </c>
      <c r="G542" s="51" t="n">
        <f aca="false">IF($E542=0,"",$F542/$E542)</f>
        <v>128.597474226804</v>
      </c>
      <c r="H542" s="51" t="n">
        <f aca="false">IF(OR($B542=0,$E542=0),"N/A",$G542-$D542)</f>
        <v>0.135360824742264</v>
      </c>
      <c r="I542" s="50" t="n">
        <f aca="false">$B542-$E542</f>
        <v>0</v>
      </c>
      <c r="J542" s="51" t="n">
        <f aca="false">SUM(J537:J541)</f>
        <v>13130</v>
      </c>
      <c r="K542" s="29"/>
      <c r="L542" s="51" t="n">
        <f aca="false">SUM(L537:L541)</f>
        <v>4006.77975</v>
      </c>
      <c r="M542" s="51" t="n">
        <f aca="false">SUM(M537:M541)</f>
        <v>520.8813675</v>
      </c>
      <c r="N542" s="51" t="n">
        <f aca="false">$L542+$M542</f>
        <v>4527.6611175</v>
      </c>
      <c r="O542" s="51" t="n">
        <f aca="false">SUM(O537:O541)</f>
        <v>8602.3388825</v>
      </c>
      <c r="P542" s="52" t="n">
        <f aca="false">IF($C542=0,"N/A",$O542/$C542)</f>
        <v>0.000690350669598522</v>
      </c>
    </row>
    <row r="545" customFormat="false" ht="19.7" hidden="false" customHeight="false" outlineLevel="0" collapsed="false">
      <c r="A545" s="1" t="s">
        <v>197</v>
      </c>
    </row>
    <row r="546" customFormat="false" ht="15" hidden="false" customHeight="false" outlineLevel="0" collapsed="false">
      <c r="A546" s="2" t="s">
        <v>132</v>
      </c>
      <c r="D546" s="31" t="s">
        <v>133</v>
      </c>
    </row>
    <row r="547" customFormat="false" ht="15" hidden="false" customHeight="false" outlineLevel="0" collapsed="false">
      <c r="A547" s="3" t="s">
        <v>134</v>
      </c>
      <c r="B547" s="27" t="n">
        <v>46295</v>
      </c>
      <c r="D547" s="3" t="s">
        <v>135</v>
      </c>
      <c r="E547" s="47" t="n">
        <f aca="false">C563</f>
        <v>13933420.91</v>
      </c>
    </row>
    <row r="548" customFormat="false" ht="15" hidden="false" customHeight="false" outlineLevel="0" collapsed="false">
      <c r="A548" s="3" t="s">
        <v>136</v>
      </c>
      <c r="B548" s="28" t="s">
        <v>137</v>
      </c>
      <c r="D548" s="3" t="s">
        <v>138</v>
      </c>
      <c r="E548" s="47" t="n">
        <f aca="false">F563</f>
        <v>13941808.11</v>
      </c>
    </row>
    <row r="549" customFormat="false" ht="15" hidden="false" customHeight="false" outlineLevel="0" collapsed="false">
      <c r="A549" s="3" t="s">
        <v>139</v>
      </c>
      <c r="B549" s="28" t="s">
        <v>151</v>
      </c>
      <c r="D549" s="3" t="s">
        <v>11</v>
      </c>
      <c r="E549" s="47" t="n">
        <f aca="false">J563</f>
        <v>8387.19999999972</v>
      </c>
    </row>
    <row r="550" customFormat="false" ht="15" hidden="false" customHeight="false" outlineLevel="0" collapsed="false">
      <c r="A550" s="3" t="s">
        <v>141</v>
      </c>
      <c r="B550" s="28" t="s">
        <v>142</v>
      </c>
      <c r="D550" s="3" t="s">
        <v>13</v>
      </c>
      <c r="E550" s="47" t="n">
        <f aca="false">L563</f>
        <v>4531.08763575</v>
      </c>
    </row>
    <row r="551" customFormat="false" ht="15" hidden="false" customHeight="false" outlineLevel="0" collapsed="false">
      <c r="A551" s="3" t="s">
        <v>143</v>
      </c>
      <c r="B551" s="28" t="s">
        <v>144</v>
      </c>
      <c r="D551" s="3" t="s">
        <v>15</v>
      </c>
      <c r="E551" s="47" t="n">
        <f aca="false">M563</f>
        <v>589.0413926475</v>
      </c>
    </row>
    <row r="552" customFormat="false" ht="15" hidden="false" customHeight="false" outlineLevel="0" collapsed="false">
      <c r="A552" s="3" t="s">
        <v>145</v>
      </c>
      <c r="B552" s="28" t="s">
        <v>198</v>
      </c>
      <c r="D552" s="3" t="s">
        <v>147</v>
      </c>
      <c r="E552" s="47" t="n">
        <f aca="false">N563</f>
        <v>5120.1290283975</v>
      </c>
    </row>
    <row r="553" customFormat="false" ht="15" hidden="false" customHeight="false" outlineLevel="0" collapsed="false">
      <c r="D553" s="3" t="s">
        <v>16</v>
      </c>
      <c r="E553" s="47" t="n">
        <f aca="false">O563</f>
        <v>3267.07097160222</v>
      </c>
    </row>
    <row r="554" customFormat="false" ht="15" hidden="false" customHeight="false" outlineLevel="0" collapsed="false">
      <c r="D554" s="3" t="s">
        <v>8</v>
      </c>
      <c r="E554" s="48" t="n">
        <f aca="false">P563</f>
        <v>0.00023447730408097</v>
      </c>
    </row>
    <row r="555" customFormat="false" ht="15" hidden="false" customHeight="false" outlineLevel="0" collapsed="false">
      <c r="D555" s="3" t="s">
        <v>148</v>
      </c>
      <c r="E555" s="49" t="n">
        <f aca="false">I563</f>
        <v>0</v>
      </c>
    </row>
    <row r="556" customFormat="false" ht="15" hidden="false" customHeight="false" outlineLevel="0" collapsed="false">
      <c r="A556" s="31" t="s">
        <v>149</v>
      </c>
    </row>
    <row r="557" customFormat="false" ht="30" hidden="false" customHeight="true" outlineLevel="0" collapsed="false">
      <c r="A557" s="18" t="s">
        <v>71</v>
      </c>
      <c r="B557" s="18" t="s">
        <v>33</v>
      </c>
      <c r="C557" s="18" t="s">
        <v>36</v>
      </c>
      <c r="D557" s="18" t="s">
        <v>60</v>
      </c>
      <c r="E557" s="18" t="s">
        <v>34</v>
      </c>
      <c r="F557" s="18" t="s">
        <v>37</v>
      </c>
      <c r="G557" s="18" t="s">
        <v>61</v>
      </c>
      <c r="H557" s="18" t="s">
        <v>62</v>
      </c>
      <c r="I557" s="18" t="s">
        <v>35</v>
      </c>
      <c r="J557" s="18" t="s">
        <v>38</v>
      </c>
      <c r="K557" s="18" t="s">
        <v>63</v>
      </c>
      <c r="L557" s="18" t="s">
        <v>39</v>
      </c>
      <c r="M557" s="18" t="s">
        <v>64</v>
      </c>
      <c r="N557" s="18" t="s">
        <v>41</v>
      </c>
      <c r="O557" s="18" t="s">
        <v>7</v>
      </c>
      <c r="P557" s="18" t="s">
        <v>8</v>
      </c>
    </row>
    <row r="558" customFormat="false" ht="15" hidden="false" customHeight="false" outlineLevel="0" collapsed="false">
      <c r="A558" s="6" t="s">
        <v>94</v>
      </c>
      <c r="B558" s="33" t="n">
        <v>3500</v>
      </c>
      <c r="C558" s="33" t="n">
        <v>687375</v>
      </c>
      <c r="D558" s="9" t="n">
        <f aca="false">IF($B558=0,"",$C558/$B558)</f>
        <v>196.392857142857</v>
      </c>
      <c r="E558" s="33" t="n">
        <v>3500</v>
      </c>
      <c r="F558" s="6" t="n">
        <v>688365</v>
      </c>
      <c r="G558" s="9" t="n">
        <f aca="false">IF($E558=0,"",$F558/$E558)</f>
        <v>196.675714285714</v>
      </c>
      <c r="H558" s="9" t="n">
        <f aca="false">IF(OR($B558=0,$E558=0),"N/A",$G558-$D558)</f>
        <v>0.282857142857154</v>
      </c>
      <c r="I558" s="33" t="n">
        <f aca="false">$B558-$E558</f>
        <v>0</v>
      </c>
      <c r="J558" s="9" t="n">
        <f aca="false">$F558-$C558</f>
        <v>990</v>
      </c>
      <c r="K558" s="6" t="str">
        <f aca="false">IF($E558=0,"—",IF($G558&gt;=Comm_Slab2_Start,"0.0325% of sell value","0.0175 paisa per share"))</f>
        <v>0.0325% of sell value</v>
      </c>
      <c r="L558" s="9" t="n">
        <f aca="false">IF($E558=0,0,IF($G558&gt;=Comm_Slab2_Start,$F558*Comm_Slab2_Rate,$E558*Comm_Slab1_Paisa/Paisa_Per_PKR))</f>
        <v>223.718625</v>
      </c>
      <c r="M558" s="9" t="n">
        <f aca="false">$L558*SST_Rate</f>
        <v>29.08342125</v>
      </c>
      <c r="N558" s="9" t="n">
        <f aca="false">$L558+$M558</f>
        <v>252.80204625</v>
      </c>
      <c r="O558" s="9" t="n">
        <f aca="false">$J558-$N558</f>
        <v>737.19795375</v>
      </c>
      <c r="P558" s="10" t="n">
        <f aca="false">IF($C558=0,"N/A",$O558/$C558)</f>
        <v>0.00107248292962357</v>
      </c>
    </row>
    <row r="559" customFormat="false" ht="15" hidden="false" customHeight="false" outlineLevel="0" collapsed="false">
      <c r="A559" s="6" t="s">
        <v>80</v>
      </c>
      <c r="B559" s="33" t="n">
        <v>3500</v>
      </c>
      <c r="C559" s="33" t="n">
        <v>2073045</v>
      </c>
      <c r="D559" s="9" t="n">
        <f aca="false">IF($B559=0,"",$C559/$B559)</f>
        <v>592.298571428571</v>
      </c>
      <c r="E559" s="33" t="n">
        <v>3500</v>
      </c>
      <c r="F559" s="6" t="n">
        <v>2076940</v>
      </c>
      <c r="G559" s="9" t="n">
        <f aca="false">IF($E559=0,"",$F559/$E559)</f>
        <v>593.411428571429</v>
      </c>
      <c r="H559" s="9" t="n">
        <f aca="false">IF(OR($B559=0,$E559=0),"N/A",$G559-$D559)</f>
        <v>1.11285714285714</v>
      </c>
      <c r="I559" s="33" t="n">
        <f aca="false">$B559-$E559</f>
        <v>0</v>
      </c>
      <c r="J559" s="9" t="n">
        <f aca="false">$F559-$C559</f>
        <v>3895</v>
      </c>
      <c r="K559" s="6" t="str">
        <f aca="false">IF($E559=0,"—",IF($G559&gt;=Comm_Slab2_Start,"0.0325% of sell value","0.0175 paisa per share"))</f>
        <v>0.0325% of sell value</v>
      </c>
      <c r="L559" s="9" t="n">
        <f aca="false">IF($E559=0,0,IF($G559&gt;=Comm_Slab2_Start,$F559*Comm_Slab2_Rate,$E559*Comm_Slab1_Paisa/Paisa_Per_PKR))</f>
        <v>675.0055</v>
      </c>
      <c r="M559" s="9" t="n">
        <f aca="false">$L559*SST_Rate</f>
        <v>87.750715</v>
      </c>
      <c r="N559" s="9" t="n">
        <f aca="false">$L559+$M559</f>
        <v>762.756215</v>
      </c>
      <c r="O559" s="9" t="n">
        <f aca="false">$J559-$N559</f>
        <v>3132.243785</v>
      </c>
      <c r="P559" s="10" t="n">
        <f aca="false">IF($C559=0,"N/A",$O559/$C559)</f>
        <v>0.00151093863616082</v>
      </c>
    </row>
    <row r="560" customFormat="false" ht="15" hidden="false" customHeight="false" outlineLevel="0" collapsed="false">
      <c r="A560" s="6" t="s">
        <v>129</v>
      </c>
      <c r="B560" s="33" t="n">
        <v>4500</v>
      </c>
      <c r="C560" s="33" t="n">
        <v>1429575</v>
      </c>
      <c r="D560" s="9" t="n">
        <f aca="false">IF($B560=0,"",$C560/$B560)</f>
        <v>317.683333333333</v>
      </c>
      <c r="E560" s="33" t="n">
        <v>4500</v>
      </c>
      <c r="F560" s="6" t="n">
        <v>1429275</v>
      </c>
      <c r="G560" s="9" t="n">
        <f aca="false">IF($E560=0,"",$F560/$E560)</f>
        <v>317.616666666667</v>
      </c>
      <c r="H560" s="9" t="n">
        <f aca="false">IF(OR($B560=0,$E560=0),"N/A",$G560-$D560)</f>
        <v>-0.0666666666666629</v>
      </c>
      <c r="I560" s="33" t="n">
        <f aca="false">$B560-$E560</f>
        <v>0</v>
      </c>
      <c r="J560" s="9" t="n">
        <f aca="false">$F560-$C560</f>
        <v>-300</v>
      </c>
      <c r="K560" s="6" t="str">
        <f aca="false">IF($E560=0,"—",IF($G560&gt;=Comm_Slab2_Start,"0.0325% of sell value","0.0175 paisa per share"))</f>
        <v>0.0325% of sell value</v>
      </c>
      <c r="L560" s="9" t="n">
        <f aca="false">IF($E560=0,0,IF($G560&gt;=Comm_Slab2_Start,$F560*Comm_Slab2_Rate,$E560*Comm_Slab1_Paisa/Paisa_Per_PKR))</f>
        <v>464.514375</v>
      </c>
      <c r="M560" s="9" t="n">
        <f aca="false">$L560*SST_Rate</f>
        <v>60.38686875</v>
      </c>
      <c r="N560" s="9" t="n">
        <f aca="false">$L560+$M560</f>
        <v>524.90124375</v>
      </c>
      <c r="O560" s="9" t="n">
        <f aca="false">$J560-$N560</f>
        <v>-824.90124375</v>
      </c>
      <c r="P560" s="10" t="n">
        <f aca="false">IF($C560=0,"N/A",$O560/$C560)</f>
        <v>-0.000577025510204082</v>
      </c>
    </row>
    <row r="561" customFormat="false" ht="15" hidden="false" customHeight="false" outlineLevel="0" collapsed="false">
      <c r="A561" s="6" t="s">
        <v>75</v>
      </c>
      <c r="B561" s="33" t="n">
        <v>32985</v>
      </c>
      <c r="C561" s="33" t="n">
        <v>3112010.91</v>
      </c>
      <c r="D561" s="9" t="n">
        <f aca="false">IF($B561=0,"",$C561/$B561)</f>
        <v>94.3462455661664</v>
      </c>
      <c r="E561" s="33" t="n">
        <v>32985</v>
      </c>
      <c r="F561" s="6" t="n">
        <v>3113643.11</v>
      </c>
      <c r="G561" s="9" t="n">
        <f aca="false">IF($E561=0,"",$F561/$E561)</f>
        <v>94.3957286645445</v>
      </c>
      <c r="H561" s="9" t="n">
        <f aca="false">IF(OR($B561=0,$E561=0),"N/A",$G561-$D561)</f>
        <v>0.0494830983780474</v>
      </c>
      <c r="I561" s="33" t="n">
        <f aca="false">$B561-$E561</f>
        <v>0</v>
      </c>
      <c r="J561" s="9" t="n">
        <f aca="false">$F561-$C561</f>
        <v>1632.19999999972</v>
      </c>
      <c r="K561" s="6" t="str">
        <f aca="false">IF($E561=0,"—",IF($G561&gt;=Comm_Slab2_Start,"0.0325% of sell value","0.0175 paisa per share"))</f>
        <v>0.0325% of sell value</v>
      </c>
      <c r="L561" s="9" t="n">
        <f aca="false">IF($E561=0,0,IF($G561&gt;=Comm_Slab2_Start,$F561*Comm_Slab2_Rate,$E561*Comm_Slab1_Paisa/Paisa_Per_PKR))</f>
        <v>1011.93401075</v>
      </c>
      <c r="M561" s="9" t="n">
        <f aca="false">$L561*SST_Rate</f>
        <v>131.5514213975</v>
      </c>
      <c r="N561" s="9" t="n">
        <f aca="false">$L561+$M561</f>
        <v>1143.4854321475</v>
      </c>
      <c r="O561" s="9" t="n">
        <f aca="false">$J561-$N561</f>
        <v>488.714567852221</v>
      </c>
      <c r="P561" s="10" t="n">
        <f aca="false">IF($C561=0,"N/A",$O561/$C561)</f>
        <v>0.000157041405697457</v>
      </c>
    </row>
    <row r="562" customFormat="false" ht="15" hidden="false" customHeight="false" outlineLevel="0" collapsed="false">
      <c r="A562" s="6" t="s">
        <v>79</v>
      </c>
      <c r="B562" s="33" t="n">
        <v>70000</v>
      </c>
      <c r="C562" s="33" t="n">
        <v>6631415</v>
      </c>
      <c r="D562" s="9" t="n">
        <f aca="false">IF($B562=0,"",$C562/$B562)</f>
        <v>94.7345</v>
      </c>
      <c r="E562" s="33" t="n">
        <v>70000</v>
      </c>
      <c r="F562" s="6" t="n">
        <v>6633585</v>
      </c>
      <c r="G562" s="9" t="n">
        <f aca="false">IF($E562=0,"",$F562/$E562)</f>
        <v>94.7655</v>
      </c>
      <c r="H562" s="9" t="n">
        <f aca="false">IF(OR($B562=0,$E562=0),"N/A",$G562-$D562)</f>
        <v>0.0310000000000059</v>
      </c>
      <c r="I562" s="33" t="n">
        <f aca="false">$B562-$E562</f>
        <v>0</v>
      </c>
      <c r="J562" s="9" t="n">
        <f aca="false">$F562-$C562</f>
        <v>2170</v>
      </c>
      <c r="K562" s="6" t="str">
        <f aca="false">IF($E562=0,"—",IF($G562&gt;=Comm_Slab2_Start,"0.0325% of sell value","0.0175 paisa per share"))</f>
        <v>0.0325% of sell value</v>
      </c>
      <c r="L562" s="9" t="n">
        <f aca="false">IF($E562=0,0,IF($G562&gt;=Comm_Slab2_Start,$F562*Comm_Slab2_Rate,$E562*Comm_Slab1_Paisa/Paisa_Per_PKR))</f>
        <v>2155.915125</v>
      </c>
      <c r="M562" s="9" t="n">
        <f aca="false">$L562*SST_Rate</f>
        <v>280.26896625</v>
      </c>
      <c r="N562" s="9" t="n">
        <f aca="false">$L562+$M562</f>
        <v>2436.18409125</v>
      </c>
      <c r="O562" s="9" t="n">
        <f aca="false">$J562-$N562</f>
        <v>-266.18409125</v>
      </c>
      <c r="P562" s="10" t="n">
        <f aca="false">IF($C562=0,"N/A",$O562/$C562)</f>
        <v>-4.0139863249397E-005</v>
      </c>
    </row>
    <row r="563" customFormat="false" ht="15" hidden="false" customHeight="false" outlineLevel="0" collapsed="false">
      <c r="A563" s="29" t="s">
        <v>42</v>
      </c>
      <c r="B563" s="50" t="n">
        <f aca="false">SUM(B558:B562)</f>
        <v>114485</v>
      </c>
      <c r="C563" s="50" t="n">
        <f aca="false">SUM(C558:C562)</f>
        <v>13933420.91</v>
      </c>
      <c r="D563" s="51" t="n">
        <f aca="false">IF($B563=0,"",$C563/$B563)</f>
        <v>121.705209503428</v>
      </c>
      <c r="E563" s="50" t="n">
        <f aca="false">SUM(E558:E562)</f>
        <v>114485</v>
      </c>
      <c r="F563" s="29" t="n">
        <f aca="false">SUM(F558:F562)</f>
        <v>13941808.11</v>
      </c>
      <c r="G563" s="51" t="n">
        <f aca="false">IF($E563=0,"",$F563/$E563)</f>
        <v>121.778469755863</v>
      </c>
      <c r="H563" s="51" t="n">
        <f aca="false">IF(OR($B563=0,$E563=0),"N/A",$G563-$D563)</f>
        <v>0.0732602524348209</v>
      </c>
      <c r="I563" s="50" t="n">
        <f aca="false">$B563-$E563</f>
        <v>0</v>
      </c>
      <c r="J563" s="51" t="n">
        <f aca="false">SUM(J558:J562)</f>
        <v>8387.19999999972</v>
      </c>
      <c r="K563" s="29"/>
      <c r="L563" s="51" t="n">
        <f aca="false">SUM(L558:L562)</f>
        <v>4531.08763575</v>
      </c>
      <c r="M563" s="51" t="n">
        <f aca="false">SUM(M558:M562)</f>
        <v>589.0413926475</v>
      </c>
      <c r="N563" s="51" t="n">
        <f aca="false">$L563+$M563</f>
        <v>5120.1290283975</v>
      </c>
      <c r="O563" s="51" t="n">
        <f aca="false">SUM(O558:O562)</f>
        <v>3267.07097160222</v>
      </c>
      <c r="P563" s="52" t="n">
        <f aca="false">IF($C563=0,"N/A",$O563/$C563)</f>
        <v>0.00023447730408097</v>
      </c>
    </row>
    <row r="566" customFormat="false" ht="19.7" hidden="false" customHeight="false" outlineLevel="0" collapsed="false">
      <c r="A566" s="1" t="s">
        <v>199</v>
      </c>
    </row>
    <row r="567" customFormat="false" ht="15" hidden="false" customHeight="false" outlineLevel="0" collapsed="false">
      <c r="A567" s="2" t="s">
        <v>132</v>
      </c>
      <c r="D567" s="31" t="s">
        <v>133</v>
      </c>
    </row>
    <row r="568" customFormat="false" ht="15" hidden="false" customHeight="false" outlineLevel="0" collapsed="false">
      <c r="A568" s="3" t="s">
        <v>134</v>
      </c>
      <c r="B568" s="27" t="n">
        <v>46296</v>
      </c>
      <c r="D568" s="3" t="s">
        <v>135</v>
      </c>
      <c r="E568" s="47" t="n">
        <f aca="false">C585</f>
        <v>9592760</v>
      </c>
    </row>
    <row r="569" customFormat="false" ht="15" hidden="false" customHeight="false" outlineLevel="0" collapsed="false">
      <c r="A569" s="3" t="s">
        <v>136</v>
      </c>
      <c r="B569" s="28" t="s">
        <v>137</v>
      </c>
      <c r="D569" s="3" t="s">
        <v>138</v>
      </c>
      <c r="E569" s="47" t="n">
        <f aca="false">F585</f>
        <v>9603580</v>
      </c>
    </row>
    <row r="570" customFormat="false" ht="15" hidden="false" customHeight="false" outlineLevel="0" collapsed="false">
      <c r="A570" s="3" t="s">
        <v>139</v>
      </c>
      <c r="B570" s="28" t="s">
        <v>151</v>
      </c>
      <c r="D570" s="3" t="s">
        <v>11</v>
      </c>
      <c r="E570" s="47" t="n">
        <f aca="false">J585</f>
        <v>10820</v>
      </c>
    </row>
    <row r="571" customFormat="false" ht="15" hidden="false" customHeight="false" outlineLevel="0" collapsed="false">
      <c r="A571" s="3" t="s">
        <v>141</v>
      </c>
      <c r="B571" s="28" t="s">
        <v>142</v>
      </c>
      <c r="D571" s="3" t="s">
        <v>13</v>
      </c>
      <c r="E571" s="47" t="n">
        <f aca="false">L585</f>
        <v>3121.1635</v>
      </c>
    </row>
    <row r="572" customFormat="false" ht="15" hidden="false" customHeight="false" outlineLevel="0" collapsed="false">
      <c r="A572" s="3" t="s">
        <v>143</v>
      </c>
      <c r="B572" s="28" t="s">
        <v>144</v>
      </c>
      <c r="D572" s="3" t="s">
        <v>15</v>
      </c>
      <c r="E572" s="47" t="n">
        <f aca="false">M585</f>
        <v>405.751255</v>
      </c>
    </row>
    <row r="573" customFormat="false" ht="15" hidden="false" customHeight="false" outlineLevel="0" collapsed="false">
      <c r="A573" s="3" t="s">
        <v>145</v>
      </c>
      <c r="B573" s="28" t="s">
        <v>200</v>
      </c>
      <c r="D573" s="3" t="s">
        <v>147</v>
      </c>
      <c r="E573" s="47" t="n">
        <f aca="false">N585</f>
        <v>3526.914755</v>
      </c>
    </row>
    <row r="574" customFormat="false" ht="15" hidden="false" customHeight="false" outlineLevel="0" collapsed="false">
      <c r="D574" s="3" t="s">
        <v>16</v>
      </c>
      <c r="E574" s="47" t="n">
        <f aca="false">O585</f>
        <v>7293.085245</v>
      </c>
    </row>
    <row r="575" customFormat="false" ht="15" hidden="false" customHeight="false" outlineLevel="0" collapsed="false">
      <c r="D575" s="3" t="s">
        <v>8</v>
      </c>
      <c r="E575" s="48" t="n">
        <f aca="false">P585</f>
        <v>0.000760269749790467</v>
      </c>
    </row>
    <row r="576" customFormat="false" ht="15" hidden="false" customHeight="false" outlineLevel="0" collapsed="false">
      <c r="D576" s="3" t="s">
        <v>148</v>
      </c>
      <c r="E576" s="49" t="n">
        <f aca="false">I585</f>
        <v>0</v>
      </c>
    </row>
    <row r="577" customFormat="false" ht="15" hidden="false" customHeight="false" outlineLevel="0" collapsed="false">
      <c r="A577" s="31" t="s">
        <v>149</v>
      </c>
    </row>
    <row r="578" customFormat="false" ht="30" hidden="false" customHeight="true" outlineLevel="0" collapsed="false">
      <c r="A578" s="18" t="s">
        <v>71</v>
      </c>
      <c r="B578" s="18" t="s">
        <v>33</v>
      </c>
      <c r="C578" s="18" t="s">
        <v>36</v>
      </c>
      <c r="D578" s="18" t="s">
        <v>60</v>
      </c>
      <c r="E578" s="18" t="s">
        <v>34</v>
      </c>
      <c r="F578" s="18" t="s">
        <v>37</v>
      </c>
      <c r="G578" s="18" t="s">
        <v>61</v>
      </c>
      <c r="H578" s="18" t="s">
        <v>62</v>
      </c>
      <c r="I578" s="18" t="s">
        <v>35</v>
      </c>
      <c r="J578" s="18" t="s">
        <v>38</v>
      </c>
      <c r="K578" s="18" t="s">
        <v>63</v>
      </c>
      <c r="L578" s="18" t="s">
        <v>39</v>
      </c>
      <c r="M578" s="18" t="s">
        <v>64</v>
      </c>
      <c r="N578" s="18" t="s">
        <v>41</v>
      </c>
      <c r="O578" s="18" t="s">
        <v>7</v>
      </c>
      <c r="P578" s="18" t="s">
        <v>8</v>
      </c>
    </row>
    <row r="579" customFormat="false" ht="15" hidden="false" customHeight="false" outlineLevel="0" collapsed="false">
      <c r="A579" s="6" t="s">
        <v>86</v>
      </c>
      <c r="B579" s="33" t="n">
        <v>500</v>
      </c>
      <c r="C579" s="33" t="n">
        <v>586745</v>
      </c>
      <c r="D579" s="9" t="n">
        <f aca="false">IF($B579=0,"",$C579/$B579)</f>
        <v>1173.49</v>
      </c>
      <c r="E579" s="33" t="n">
        <v>500</v>
      </c>
      <c r="F579" s="6" t="n">
        <v>587505</v>
      </c>
      <c r="G579" s="9" t="n">
        <f aca="false">IF($E579=0,"",$F579/$E579)</f>
        <v>1175.01</v>
      </c>
      <c r="H579" s="9" t="n">
        <f aca="false">IF(OR($B579=0,$E579=0),"N/A",$G579-$D579)</f>
        <v>1.51999999999998</v>
      </c>
      <c r="I579" s="33" t="n">
        <f aca="false">$B579-$E579</f>
        <v>0</v>
      </c>
      <c r="J579" s="9" t="n">
        <f aca="false">$F579-$C579</f>
        <v>760</v>
      </c>
      <c r="K579" s="6" t="str">
        <f aca="false">IF($E579=0,"—",IF($G579&gt;=Comm_Slab2_Start,"0.0325% of sell value","0.0175 paisa per share"))</f>
        <v>0.0325% of sell value</v>
      </c>
      <c r="L579" s="9" t="n">
        <f aca="false">IF($E579=0,0,IF($G579&gt;=Comm_Slab2_Start,$F579*Comm_Slab2_Rate,$E579*Comm_Slab1_Paisa/Paisa_Per_PKR))</f>
        <v>190.939125</v>
      </c>
      <c r="M579" s="9" t="n">
        <f aca="false">$L579*SST_Rate</f>
        <v>24.82208625</v>
      </c>
      <c r="N579" s="9" t="n">
        <f aca="false">$L579+$M579</f>
        <v>215.76121125</v>
      </c>
      <c r="O579" s="9" t="n">
        <f aca="false">$J579-$N579</f>
        <v>544.23878875</v>
      </c>
      <c r="P579" s="10" t="n">
        <f aca="false">IF($C579=0,"N/A",$O579/$C579)</f>
        <v>0.000927555903757169</v>
      </c>
    </row>
    <row r="580" customFormat="false" ht="15" hidden="false" customHeight="false" outlineLevel="0" collapsed="false">
      <c r="A580" s="6" t="s">
        <v>80</v>
      </c>
      <c r="B580" s="33" t="n">
        <v>5500</v>
      </c>
      <c r="C580" s="33" t="n">
        <v>3339130</v>
      </c>
      <c r="D580" s="9" t="n">
        <f aca="false">IF($B580=0,"",$C580/$B580)</f>
        <v>607.114545454546</v>
      </c>
      <c r="E580" s="33" t="n">
        <v>5500</v>
      </c>
      <c r="F580" s="6" t="n">
        <v>3341700</v>
      </c>
      <c r="G580" s="9" t="n">
        <f aca="false">IF($E580=0,"",$F580/$E580)</f>
        <v>607.581818181818</v>
      </c>
      <c r="H580" s="9" t="n">
        <f aca="false">IF(OR($B580=0,$E580=0),"N/A",$G580-$D580)</f>
        <v>0.467272727272757</v>
      </c>
      <c r="I580" s="33" t="n">
        <f aca="false">$B580-$E580</f>
        <v>0</v>
      </c>
      <c r="J580" s="9" t="n">
        <f aca="false">$F580-$C580</f>
        <v>2570</v>
      </c>
      <c r="K580" s="6" t="str">
        <f aca="false">IF($E580=0,"—",IF($G580&gt;=Comm_Slab2_Start,"0.0325% of sell value","0.0175 paisa per share"))</f>
        <v>0.0325% of sell value</v>
      </c>
      <c r="L580" s="9" t="n">
        <f aca="false">IF($E580=0,0,IF($G580&gt;=Comm_Slab2_Start,$F580*Comm_Slab2_Rate,$E580*Comm_Slab1_Paisa/Paisa_Per_PKR))</f>
        <v>1086.0525</v>
      </c>
      <c r="M580" s="9" t="n">
        <f aca="false">$L580*SST_Rate</f>
        <v>141.186825</v>
      </c>
      <c r="N580" s="9" t="n">
        <f aca="false">$L580+$M580</f>
        <v>1227.239325</v>
      </c>
      <c r="O580" s="9" t="n">
        <f aca="false">$J580-$N580</f>
        <v>1342.760675</v>
      </c>
      <c r="P580" s="10" t="n">
        <f aca="false">IF($C580=0,"N/A",$O580/$C580)</f>
        <v>0.000402128900342305</v>
      </c>
    </row>
    <row r="581" customFormat="false" ht="15" hidden="false" customHeight="false" outlineLevel="0" collapsed="false">
      <c r="A581" s="6" t="s">
        <v>92</v>
      </c>
      <c r="B581" s="33" t="n">
        <v>1000</v>
      </c>
      <c r="C581" s="33" t="n">
        <v>315450</v>
      </c>
      <c r="D581" s="9" t="n">
        <f aca="false">IF($B581=0,"",$C581/$B581)</f>
        <v>315.45</v>
      </c>
      <c r="E581" s="33" t="n">
        <v>1000</v>
      </c>
      <c r="F581" s="6" t="n">
        <v>315400</v>
      </c>
      <c r="G581" s="9" t="n">
        <f aca="false">IF($E581=0,"",$F581/$E581)</f>
        <v>315.4</v>
      </c>
      <c r="H581" s="9" t="n">
        <f aca="false">IF(OR($B581=0,$E581=0),"N/A",$G581-$D581)</f>
        <v>-0.0500000000000114</v>
      </c>
      <c r="I581" s="33" t="n">
        <f aca="false">$B581-$E581</f>
        <v>0</v>
      </c>
      <c r="J581" s="9" t="n">
        <f aca="false">$F581-$C581</f>
        <v>-50</v>
      </c>
      <c r="K581" s="6" t="str">
        <f aca="false">IF($E581=0,"—",IF($G581&gt;=Comm_Slab2_Start,"0.0325% of sell value","0.0175 paisa per share"))</f>
        <v>0.0325% of sell value</v>
      </c>
      <c r="L581" s="9" t="n">
        <f aca="false">IF($E581=0,0,IF($G581&gt;=Comm_Slab2_Start,$F581*Comm_Slab2_Rate,$E581*Comm_Slab1_Paisa/Paisa_Per_PKR))</f>
        <v>102.505</v>
      </c>
      <c r="M581" s="9" t="n">
        <f aca="false">$L581*SST_Rate</f>
        <v>13.32565</v>
      </c>
      <c r="N581" s="9" t="n">
        <f aca="false">$L581+$M581</f>
        <v>115.83065</v>
      </c>
      <c r="O581" s="9" t="n">
        <f aca="false">$J581-$N581</f>
        <v>-165.83065</v>
      </c>
      <c r="P581" s="10" t="n">
        <f aca="false">IF($C581=0,"N/A",$O581/$C581)</f>
        <v>-0.000525695514344587</v>
      </c>
    </row>
    <row r="582" customFormat="false" ht="15" hidden="false" customHeight="false" outlineLevel="0" collapsed="false">
      <c r="A582" s="6" t="s">
        <v>100</v>
      </c>
      <c r="B582" s="33" t="n">
        <v>2500</v>
      </c>
      <c r="C582" s="33" t="n">
        <v>558250</v>
      </c>
      <c r="D582" s="9" t="n">
        <f aca="false">IF($B582=0,"",$C582/$B582)</f>
        <v>223.3</v>
      </c>
      <c r="E582" s="33" t="n">
        <v>2500</v>
      </c>
      <c r="F582" s="6" t="n">
        <v>560000</v>
      </c>
      <c r="G582" s="9" t="n">
        <f aca="false">IF($E582=0,"",$F582/$E582)</f>
        <v>224</v>
      </c>
      <c r="H582" s="9" t="n">
        <f aca="false">IF(OR($B582=0,$E582=0),"N/A",$G582-$D582)</f>
        <v>0.699999999999989</v>
      </c>
      <c r="I582" s="33" t="n">
        <f aca="false">$B582-$E582</f>
        <v>0</v>
      </c>
      <c r="J582" s="9" t="n">
        <f aca="false">$F582-$C582</f>
        <v>1750</v>
      </c>
      <c r="K582" s="6" t="str">
        <f aca="false">IF($E582=0,"—",IF($G582&gt;=Comm_Slab2_Start,"0.0325% of sell value","0.0175 paisa per share"))</f>
        <v>0.0325% of sell value</v>
      </c>
      <c r="L582" s="9" t="n">
        <f aca="false">IF($E582=0,0,IF($G582&gt;=Comm_Slab2_Start,$F582*Comm_Slab2_Rate,$E582*Comm_Slab1_Paisa/Paisa_Per_PKR))</f>
        <v>182</v>
      </c>
      <c r="M582" s="9" t="n">
        <f aca="false">$L582*SST_Rate</f>
        <v>23.66</v>
      </c>
      <c r="N582" s="9" t="n">
        <f aca="false">$L582+$M582</f>
        <v>205.66</v>
      </c>
      <c r="O582" s="9" t="n">
        <f aca="false">$J582-$N582</f>
        <v>1544.34</v>
      </c>
      <c r="P582" s="10" t="n">
        <f aca="false">IF($C582=0,"N/A",$O582/$C582)</f>
        <v>0.00276639498432602</v>
      </c>
    </row>
    <row r="583" customFormat="false" ht="15" hidden="false" customHeight="false" outlineLevel="0" collapsed="false">
      <c r="A583" s="6" t="s">
        <v>79</v>
      </c>
      <c r="B583" s="33" t="n">
        <v>47000</v>
      </c>
      <c r="C583" s="33" t="n">
        <v>4392985</v>
      </c>
      <c r="D583" s="9" t="n">
        <f aca="false">IF($B583=0,"",$C583/$B583)</f>
        <v>93.4677659574468</v>
      </c>
      <c r="E583" s="33" t="n">
        <v>47000</v>
      </c>
      <c r="F583" s="6" t="n">
        <v>4399025</v>
      </c>
      <c r="G583" s="9" t="n">
        <f aca="false">IF($E583=0,"",$F583/$E583)</f>
        <v>93.5962765957447</v>
      </c>
      <c r="H583" s="9" t="n">
        <f aca="false">IF(OR($B583=0,$E583=0),"N/A",$G583-$D583)</f>
        <v>0.128510638297868</v>
      </c>
      <c r="I583" s="33" t="n">
        <f aca="false">$B583-$E583</f>
        <v>0</v>
      </c>
      <c r="J583" s="9" t="n">
        <f aca="false">$F583-$C583</f>
        <v>6040</v>
      </c>
      <c r="K583" s="6" t="str">
        <f aca="false">IF($E583=0,"—",IF($G583&gt;=Comm_Slab2_Start,"0.0325% of sell value","0.0175 paisa per share"))</f>
        <v>0.0325% of sell value</v>
      </c>
      <c r="L583" s="9" t="n">
        <f aca="false">IF($E583=0,0,IF($G583&gt;=Comm_Slab2_Start,$F583*Comm_Slab2_Rate,$E583*Comm_Slab1_Paisa/Paisa_Per_PKR))</f>
        <v>1429.683125</v>
      </c>
      <c r="M583" s="9" t="n">
        <f aca="false">$L583*SST_Rate</f>
        <v>185.85880625</v>
      </c>
      <c r="N583" s="9" t="n">
        <f aca="false">$L583+$M583</f>
        <v>1615.54193125</v>
      </c>
      <c r="O583" s="9" t="n">
        <f aca="false">$J583-$N583</f>
        <v>4424.45806875</v>
      </c>
      <c r="P583" s="10" t="n">
        <f aca="false">IF($C583=0,"N/A",$O583/$C583)</f>
        <v>0.00100716439249167</v>
      </c>
    </row>
    <row r="584" customFormat="false" ht="15" hidden="false" customHeight="false" outlineLevel="0" collapsed="false">
      <c r="A584" s="6" t="s">
        <v>119</v>
      </c>
      <c r="B584" s="33" t="n">
        <v>5000</v>
      </c>
      <c r="C584" s="33" t="n">
        <v>400200</v>
      </c>
      <c r="D584" s="9" t="n">
        <f aca="false">IF($B584=0,"",$C584/$B584)</f>
        <v>80.04</v>
      </c>
      <c r="E584" s="33" t="n">
        <v>5000</v>
      </c>
      <c r="F584" s="6" t="n">
        <v>399950</v>
      </c>
      <c r="G584" s="9" t="n">
        <f aca="false">IF($E584=0,"",$F584/$E584)</f>
        <v>79.99</v>
      </c>
      <c r="H584" s="9" t="n">
        <f aca="false">IF(OR($B584=0,$E584=0),"N/A",$G584-$D584)</f>
        <v>-0.0500000000000114</v>
      </c>
      <c r="I584" s="33" t="n">
        <f aca="false">$B584-$E584</f>
        <v>0</v>
      </c>
      <c r="J584" s="9" t="n">
        <f aca="false">$F584-$C584</f>
        <v>-250</v>
      </c>
      <c r="K584" s="6" t="str">
        <f aca="false">IF($E584=0,"—",IF($G584&gt;=Comm_Slab2_Start,"0.0325% of sell value","0.0175 paisa per share"))</f>
        <v>0.0325% of sell value</v>
      </c>
      <c r="L584" s="9" t="n">
        <f aca="false">IF($E584=0,0,IF($G584&gt;=Comm_Slab2_Start,$F584*Comm_Slab2_Rate,$E584*Comm_Slab1_Paisa/Paisa_Per_PKR))</f>
        <v>129.98375</v>
      </c>
      <c r="M584" s="9" t="n">
        <f aca="false">$L584*SST_Rate</f>
        <v>16.8978875</v>
      </c>
      <c r="N584" s="9" t="n">
        <f aca="false">$L584+$M584</f>
        <v>146.8816375</v>
      </c>
      <c r="O584" s="9" t="n">
        <f aca="false">$J584-$N584</f>
        <v>-396.8816375</v>
      </c>
      <c r="P584" s="10" t="n">
        <f aca="false">IF($C584=0,"N/A",$O584/$C584)</f>
        <v>-0.000991708239630185</v>
      </c>
    </row>
    <row r="585" customFormat="false" ht="15" hidden="false" customHeight="false" outlineLevel="0" collapsed="false">
      <c r="A585" s="29" t="s">
        <v>42</v>
      </c>
      <c r="B585" s="50" t="n">
        <f aca="false">SUM(B579:B584)</f>
        <v>61500</v>
      </c>
      <c r="C585" s="50" t="n">
        <f aca="false">SUM(C579:C584)</f>
        <v>9592760</v>
      </c>
      <c r="D585" s="51" t="n">
        <f aca="false">IF($B585=0,"",$C585/$B585)</f>
        <v>155.979837398374</v>
      </c>
      <c r="E585" s="50" t="n">
        <f aca="false">SUM(E579:E584)</f>
        <v>61500</v>
      </c>
      <c r="F585" s="29" t="n">
        <f aca="false">SUM(F579:F584)</f>
        <v>9603580</v>
      </c>
      <c r="G585" s="51" t="n">
        <f aca="false">IF($E585=0,"",$F585/$E585)</f>
        <v>156.155772357724</v>
      </c>
      <c r="H585" s="51" t="n">
        <f aca="false">IF(OR($B585=0,$E585=0),"N/A",$G585-$D585)</f>
        <v>0.175934959349604</v>
      </c>
      <c r="I585" s="50" t="n">
        <f aca="false">$B585-$E585</f>
        <v>0</v>
      </c>
      <c r="J585" s="51" t="n">
        <f aca="false">SUM(J579:J584)</f>
        <v>10820</v>
      </c>
      <c r="K585" s="29"/>
      <c r="L585" s="51" t="n">
        <f aca="false">SUM(L579:L584)</f>
        <v>3121.1635</v>
      </c>
      <c r="M585" s="51" t="n">
        <f aca="false">SUM(M579:M584)</f>
        <v>405.751255</v>
      </c>
      <c r="N585" s="51" t="n">
        <f aca="false">$L585+$M585</f>
        <v>3526.914755</v>
      </c>
      <c r="O585" s="51" t="n">
        <f aca="false">SUM(O579:O584)</f>
        <v>7293.085245</v>
      </c>
      <c r="P585" s="52" t="n">
        <f aca="false">IF($C585=0,"N/A",$O585/$C585)</f>
        <v>0.000760269749790467</v>
      </c>
    </row>
    <row r="588" customFormat="false" ht="19.7" hidden="false" customHeight="false" outlineLevel="0" collapsed="false">
      <c r="A588" s="1" t="s">
        <v>201</v>
      </c>
    </row>
    <row r="589" customFormat="false" ht="15" hidden="false" customHeight="false" outlineLevel="0" collapsed="false">
      <c r="A589" s="2" t="s">
        <v>132</v>
      </c>
      <c r="D589" s="31" t="s">
        <v>133</v>
      </c>
    </row>
    <row r="590" customFormat="false" ht="15" hidden="false" customHeight="false" outlineLevel="0" collapsed="false">
      <c r="A590" s="3" t="s">
        <v>134</v>
      </c>
      <c r="B590" s="27" t="n">
        <v>46297</v>
      </c>
      <c r="D590" s="3" t="s">
        <v>135</v>
      </c>
      <c r="E590" s="47" t="n">
        <f aca="false">C605</f>
        <v>8710670</v>
      </c>
    </row>
    <row r="591" customFormat="false" ht="15" hidden="false" customHeight="false" outlineLevel="0" collapsed="false">
      <c r="A591" s="3" t="s">
        <v>136</v>
      </c>
      <c r="B591" s="28" t="s">
        <v>137</v>
      </c>
      <c r="D591" s="3" t="s">
        <v>138</v>
      </c>
      <c r="E591" s="47" t="n">
        <f aca="false">F605</f>
        <v>8714260</v>
      </c>
    </row>
    <row r="592" customFormat="false" ht="15" hidden="false" customHeight="false" outlineLevel="0" collapsed="false">
      <c r="A592" s="3" t="s">
        <v>139</v>
      </c>
      <c r="B592" s="28" t="s">
        <v>140</v>
      </c>
      <c r="D592" s="3" t="s">
        <v>11</v>
      </c>
      <c r="E592" s="47" t="n">
        <f aca="false">J605</f>
        <v>3590</v>
      </c>
    </row>
    <row r="593" customFormat="false" ht="15" hidden="false" customHeight="false" outlineLevel="0" collapsed="false">
      <c r="A593" s="3" t="s">
        <v>141</v>
      </c>
      <c r="B593" s="28" t="s">
        <v>142</v>
      </c>
      <c r="D593" s="3" t="s">
        <v>13</v>
      </c>
      <c r="E593" s="47" t="n">
        <f aca="false">L605</f>
        <v>2832.1345</v>
      </c>
    </row>
    <row r="594" customFormat="false" ht="15" hidden="false" customHeight="false" outlineLevel="0" collapsed="false">
      <c r="A594" s="3" t="s">
        <v>143</v>
      </c>
      <c r="B594" s="28" t="s">
        <v>144</v>
      </c>
      <c r="D594" s="3" t="s">
        <v>15</v>
      </c>
      <c r="E594" s="47" t="n">
        <f aca="false">M605</f>
        <v>368.177485</v>
      </c>
    </row>
    <row r="595" customFormat="false" ht="15" hidden="false" customHeight="false" outlineLevel="0" collapsed="false">
      <c r="A595" s="3" t="s">
        <v>145</v>
      </c>
      <c r="B595" s="28" t="s">
        <v>202</v>
      </c>
      <c r="D595" s="3" t="s">
        <v>147</v>
      </c>
      <c r="E595" s="47" t="n">
        <f aca="false">N605</f>
        <v>3200.311985</v>
      </c>
    </row>
    <row r="596" customFormat="false" ht="15" hidden="false" customHeight="false" outlineLevel="0" collapsed="false">
      <c r="D596" s="3" t="s">
        <v>16</v>
      </c>
      <c r="E596" s="47" t="n">
        <f aca="false">O605</f>
        <v>389.688015</v>
      </c>
    </row>
    <row r="597" customFormat="false" ht="15" hidden="false" customHeight="false" outlineLevel="0" collapsed="false">
      <c r="D597" s="3" t="s">
        <v>8</v>
      </c>
      <c r="E597" s="48" t="n">
        <f aca="false">P605</f>
        <v>4.47368589327801E-005</v>
      </c>
    </row>
    <row r="598" customFormat="false" ht="15" hidden="false" customHeight="false" outlineLevel="0" collapsed="false">
      <c r="D598" s="3" t="s">
        <v>148</v>
      </c>
      <c r="E598" s="49" t="n">
        <f aca="false">I605</f>
        <v>0</v>
      </c>
    </row>
    <row r="599" customFormat="false" ht="15" hidden="false" customHeight="false" outlineLevel="0" collapsed="false">
      <c r="A599" s="31" t="s">
        <v>149</v>
      </c>
    </row>
    <row r="600" customFormat="false" ht="30" hidden="false" customHeight="true" outlineLevel="0" collapsed="false">
      <c r="A600" s="18" t="s">
        <v>71</v>
      </c>
      <c r="B600" s="18" t="s">
        <v>33</v>
      </c>
      <c r="C600" s="18" t="s">
        <v>36</v>
      </c>
      <c r="D600" s="18" t="s">
        <v>60</v>
      </c>
      <c r="E600" s="18" t="s">
        <v>34</v>
      </c>
      <c r="F600" s="18" t="s">
        <v>37</v>
      </c>
      <c r="G600" s="18" t="s">
        <v>61</v>
      </c>
      <c r="H600" s="18" t="s">
        <v>62</v>
      </c>
      <c r="I600" s="18" t="s">
        <v>35</v>
      </c>
      <c r="J600" s="18" t="s">
        <v>38</v>
      </c>
      <c r="K600" s="18" t="s">
        <v>63</v>
      </c>
      <c r="L600" s="18" t="s">
        <v>39</v>
      </c>
      <c r="M600" s="18" t="s">
        <v>64</v>
      </c>
      <c r="N600" s="18" t="s">
        <v>41</v>
      </c>
      <c r="O600" s="18" t="s">
        <v>7</v>
      </c>
      <c r="P600" s="18" t="s">
        <v>8</v>
      </c>
    </row>
    <row r="601" customFormat="false" ht="15" hidden="false" customHeight="false" outlineLevel="0" collapsed="false">
      <c r="A601" s="6" t="s">
        <v>86</v>
      </c>
      <c r="B601" s="33" t="n">
        <v>500</v>
      </c>
      <c r="C601" s="33" t="n">
        <v>583000</v>
      </c>
      <c r="D601" s="9" t="n">
        <f aca="false">IF($B601=0,"",$C601/$B601)</f>
        <v>1166</v>
      </c>
      <c r="E601" s="33" t="n">
        <v>500</v>
      </c>
      <c r="F601" s="6" t="n">
        <v>581560</v>
      </c>
      <c r="G601" s="9" t="n">
        <f aca="false">IF($E601=0,"",$F601/$E601)</f>
        <v>1163.12</v>
      </c>
      <c r="H601" s="9" t="n">
        <f aca="false">IF(OR($B601=0,$E601=0),"N/A",$G601-$D601)</f>
        <v>-2.88000000000011</v>
      </c>
      <c r="I601" s="33" t="n">
        <f aca="false">$B601-$E601</f>
        <v>0</v>
      </c>
      <c r="J601" s="9" t="n">
        <f aca="false">$F601-$C601</f>
        <v>-1440</v>
      </c>
      <c r="K601" s="6" t="str">
        <f aca="false">IF($E601=0,"—",IF($G601&gt;=Comm_Slab2_Start,"0.0325% of sell value","0.0175 paisa per share"))</f>
        <v>0.0325% of sell value</v>
      </c>
      <c r="L601" s="9" t="n">
        <f aca="false">IF($E601=0,0,IF($G601&gt;=Comm_Slab2_Start,$F601*Comm_Slab2_Rate,$E601*Comm_Slab1_Paisa/Paisa_Per_PKR))</f>
        <v>189.007</v>
      </c>
      <c r="M601" s="9" t="n">
        <f aca="false">$L601*SST_Rate</f>
        <v>24.57091</v>
      </c>
      <c r="N601" s="9" t="n">
        <f aca="false">$L601+$M601</f>
        <v>213.57791</v>
      </c>
      <c r="O601" s="9" t="n">
        <f aca="false">$J601-$N601</f>
        <v>-1653.57791</v>
      </c>
      <c r="P601" s="10" t="n">
        <f aca="false">IF($C601=0,"N/A",$O601/$C601)</f>
        <v>-0.00283632574614065</v>
      </c>
    </row>
    <row r="602" customFormat="false" ht="15" hidden="false" customHeight="false" outlineLevel="0" collapsed="false">
      <c r="A602" s="6" t="s">
        <v>80</v>
      </c>
      <c r="B602" s="33" t="n">
        <v>8500</v>
      </c>
      <c r="C602" s="33" t="n">
        <v>5034135</v>
      </c>
      <c r="D602" s="9" t="n">
        <f aca="false">IF($B602=0,"",$C602/$B602)</f>
        <v>592.251176470588</v>
      </c>
      <c r="E602" s="33" t="n">
        <v>8500</v>
      </c>
      <c r="F602" s="6" t="n">
        <v>5036200</v>
      </c>
      <c r="G602" s="9" t="n">
        <f aca="false">IF($E602=0,"",$F602/$E602)</f>
        <v>592.494117647059</v>
      </c>
      <c r="H602" s="9" t="n">
        <f aca="false">IF(OR($B602=0,$E602=0),"N/A",$G602-$D602)</f>
        <v>0.242941176470595</v>
      </c>
      <c r="I602" s="33" t="n">
        <f aca="false">$B602-$E602</f>
        <v>0</v>
      </c>
      <c r="J602" s="9" t="n">
        <f aca="false">$F602-$C602</f>
        <v>2065</v>
      </c>
      <c r="K602" s="6" t="str">
        <f aca="false">IF($E602=0,"—",IF($G602&gt;=Comm_Slab2_Start,"0.0325% of sell value","0.0175 paisa per share"))</f>
        <v>0.0325% of sell value</v>
      </c>
      <c r="L602" s="9" t="n">
        <f aca="false">IF($E602=0,0,IF($G602&gt;=Comm_Slab2_Start,$F602*Comm_Slab2_Rate,$E602*Comm_Slab1_Paisa/Paisa_Per_PKR))</f>
        <v>1636.765</v>
      </c>
      <c r="M602" s="9" t="n">
        <f aca="false">$L602*SST_Rate</f>
        <v>212.77945</v>
      </c>
      <c r="N602" s="9" t="n">
        <f aca="false">$L602+$M602</f>
        <v>1849.54445</v>
      </c>
      <c r="O602" s="9" t="n">
        <f aca="false">$J602-$N602</f>
        <v>215.45555</v>
      </c>
      <c r="P602" s="10" t="n">
        <f aca="false">IF($C602=0,"N/A",$O602/$C602)</f>
        <v>4.27989217611367E-005</v>
      </c>
    </row>
    <row r="603" customFormat="false" ht="15" hidden="false" customHeight="false" outlineLevel="0" collapsed="false">
      <c r="A603" s="6" t="s">
        <v>100</v>
      </c>
      <c r="B603" s="33" t="n">
        <v>5000</v>
      </c>
      <c r="C603" s="33" t="n">
        <v>1103830</v>
      </c>
      <c r="D603" s="9" t="n">
        <f aca="false">IF($B603=0,"",$C603/$B603)</f>
        <v>220.766</v>
      </c>
      <c r="E603" s="33" t="n">
        <v>5000</v>
      </c>
      <c r="F603" s="6" t="n">
        <v>1107000</v>
      </c>
      <c r="G603" s="9" t="n">
        <f aca="false">IF($E603=0,"",$F603/$E603)</f>
        <v>221.4</v>
      </c>
      <c r="H603" s="9" t="n">
        <f aca="false">IF(OR($B603=0,$E603=0),"N/A",$G603-$D603)</f>
        <v>0.634000000000015</v>
      </c>
      <c r="I603" s="33" t="n">
        <f aca="false">$B603-$E603</f>
        <v>0</v>
      </c>
      <c r="J603" s="9" t="n">
        <f aca="false">$F603-$C603</f>
        <v>3170</v>
      </c>
      <c r="K603" s="6" t="str">
        <f aca="false">IF($E603=0,"—",IF($G603&gt;=Comm_Slab2_Start,"0.0325% of sell value","0.0175 paisa per share"))</f>
        <v>0.0325% of sell value</v>
      </c>
      <c r="L603" s="9" t="n">
        <f aca="false">IF($E603=0,0,IF($G603&gt;=Comm_Slab2_Start,$F603*Comm_Slab2_Rate,$E603*Comm_Slab1_Paisa/Paisa_Per_PKR))</f>
        <v>359.775</v>
      </c>
      <c r="M603" s="9" t="n">
        <f aca="false">$L603*SST_Rate</f>
        <v>46.77075</v>
      </c>
      <c r="N603" s="9" t="n">
        <f aca="false">$L603+$M603</f>
        <v>406.54575</v>
      </c>
      <c r="O603" s="9" t="n">
        <f aca="false">$J603-$N603</f>
        <v>2763.45425</v>
      </c>
      <c r="P603" s="10" t="n">
        <f aca="false">IF($C603=0,"N/A",$O603/$C603)</f>
        <v>0.00250351435456547</v>
      </c>
    </row>
    <row r="604" customFormat="false" ht="15" hidden="false" customHeight="false" outlineLevel="0" collapsed="false">
      <c r="A604" s="6" t="s">
        <v>79</v>
      </c>
      <c r="B604" s="33" t="n">
        <v>21500</v>
      </c>
      <c r="C604" s="33" t="n">
        <v>1989705</v>
      </c>
      <c r="D604" s="9" t="n">
        <f aca="false">IF($B604=0,"",$C604/$B604)</f>
        <v>92.5444186046512</v>
      </c>
      <c r="E604" s="33" t="n">
        <v>21500</v>
      </c>
      <c r="F604" s="6" t="n">
        <v>1989500</v>
      </c>
      <c r="G604" s="9" t="n">
        <f aca="false">IF($E604=0,"",$F604/$E604)</f>
        <v>92.5348837209302</v>
      </c>
      <c r="H604" s="9" t="n">
        <f aca="false">IF(OR($B604=0,$E604=0),"N/A",$G604-$D604)</f>
        <v>-0.00953488372091726</v>
      </c>
      <c r="I604" s="33" t="n">
        <f aca="false">$B604-$E604</f>
        <v>0</v>
      </c>
      <c r="J604" s="9" t="n">
        <f aca="false">$F604-$C604</f>
        <v>-205</v>
      </c>
      <c r="K604" s="6" t="str">
        <f aca="false">IF($E604=0,"—",IF($G604&gt;=Comm_Slab2_Start,"0.0325% of sell value","0.0175 paisa per share"))</f>
        <v>0.0325% of sell value</v>
      </c>
      <c r="L604" s="9" t="n">
        <f aca="false">IF($E604=0,0,IF($G604&gt;=Comm_Slab2_Start,$F604*Comm_Slab2_Rate,$E604*Comm_Slab1_Paisa/Paisa_Per_PKR))</f>
        <v>646.5875</v>
      </c>
      <c r="M604" s="9" t="n">
        <f aca="false">$L604*SST_Rate</f>
        <v>84.056375</v>
      </c>
      <c r="N604" s="9" t="n">
        <f aca="false">$L604+$M604</f>
        <v>730.643875</v>
      </c>
      <c r="O604" s="9" t="n">
        <f aca="false">$J604-$N604</f>
        <v>-935.643875</v>
      </c>
      <c r="P604" s="10" t="n">
        <f aca="false">IF($C604=0,"N/A",$O604/$C604)</f>
        <v>-0.000470242510824469</v>
      </c>
    </row>
    <row r="605" customFormat="false" ht="15" hidden="false" customHeight="false" outlineLevel="0" collapsed="false">
      <c r="A605" s="29" t="s">
        <v>42</v>
      </c>
      <c r="B605" s="50" t="n">
        <f aca="false">SUM(B601:B604)</f>
        <v>35500</v>
      </c>
      <c r="C605" s="50" t="n">
        <f aca="false">SUM(C601:C604)</f>
        <v>8710670</v>
      </c>
      <c r="D605" s="51" t="n">
        <f aca="false">IF($B605=0,"",$C605/$B605)</f>
        <v>245.370985915493</v>
      </c>
      <c r="E605" s="50" t="n">
        <f aca="false">SUM(E601:E604)</f>
        <v>35500</v>
      </c>
      <c r="F605" s="29" t="n">
        <f aca="false">SUM(F601:F604)</f>
        <v>8714260</v>
      </c>
      <c r="G605" s="51" t="n">
        <f aca="false">IF($E605=0,"",$F605/$E605)</f>
        <v>245.472112676056</v>
      </c>
      <c r="H605" s="51" t="n">
        <f aca="false">IF(OR($B605=0,$E605=0),"N/A",$G605-$D605)</f>
        <v>0.101126760563375</v>
      </c>
      <c r="I605" s="50" t="n">
        <f aca="false">$B605-$E605</f>
        <v>0</v>
      </c>
      <c r="J605" s="51" t="n">
        <f aca="false">SUM(J601:J604)</f>
        <v>3590</v>
      </c>
      <c r="K605" s="29"/>
      <c r="L605" s="51" t="n">
        <f aca="false">SUM(L601:L604)</f>
        <v>2832.1345</v>
      </c>
      <c r="M605" s="51" t="n">
        <f aca="false">SUM(M601:M604)</f>
        <v>368.177485</v>
      </c>
      <c r="N605" s="51" t="n">
        <f aca="false">$L605+$M605</f>
        <v>3200.311985</v>
      </c>
      <c r="O605" s="51" t="n">
        <f aca="false">SUM(O601:O604)</f>
        <v>389.688015</v>
      </c>
      <c r="P605" s="52" t="n">
        <f aca="false">IF($C605=0,"N/A",$O605/$C605)</f>
        <v>4.47368589327801E-005</v>
      </c>
    </row>
    <row r="608" customFormat="false" ht="19.7" hidden="false" customHeight="false" outlineLevel="0" collapsed="false">
      <c r="A608" s="1" t="s">
        <v>203</v>
      </c>
    </row>
    <row r="609" customFormat="false" ht="15" hidden="false" customHeight="false" outlineLevel="0" collapsed="false">
      <c r="A609" s="2" t="s">
        <v>132</v>
      </c>
      <c r="D609" s="31" t="s">
        <v>133</v>
      </c>
    </row>
    <row r="610" customFormat="false" ht="15" hidden="false" customHeight="false" outlineLevel="0" collapsed="false">
      <c r="A610" s="3" t="s">
        <v>134</v>
      </c>
      <c r="B610" s="27" t="n">
        <v>46300</v>
      </c>
      <c r="D610" s="3" t="s">
        <v>135</v>
      </c>
      <c r="E610" s="47" t="n">
        <f aca="false">C625</f>
        <v>6890615</v>
      </c>
    </row>
    <row r="611" customFormat="false" ht="15" hidden="false" customHeight="false" outlineLevel="0" collapsed="false">
      <c r="A611" s="3" t="s">
        <v>136</v>
      </c>
      <c r="B611" s="28" t="s">
        <v>137</v>
      </c>
      <c r="D611" s="3" t="s">
        <v>138</v>
      </c>
      <c r="E611" s="47" t="n">
        <f aca="false">F625</f>
        <v>6893846.33</v>
      </c>
    </row>
    <row r="612" customFormat="false" ht="15" hidden="false" customHeight="false" outlineLevel="0" collapsed="false">
      <c r="A612" s="3" t="s">
        <v>139</v>
      </c>
      <c r="B612" s="28" t="s">
        <v>151</v>
      </c>
      <c r="D612" s="3" t="s">
        <v>11</v>
      </c>
      <c r="E612" s="47" t="n">
        <f aca="false">J625</f>
        <v>3231.33000000007</v>
      </c>
    </row>
    <row r="613" customFormat="false" ht="15" hidden="false" customHeight="false" outlineLevel="0" collapsed="false">
      <c r="A613" s="3" t="s">
        <v>141</v>
      </c>
      <c r="B613" s="28" t="s">
        <v>142</v>
      </c>
      <c r="D613" s="3" t="s">
        <v>13</v>
      </c>
      <c r="E613" s="47" t="n">
        <f aca="false">L625</f>
        <v>2240.50005725</v>
      </c>
    </row>
    <row r="614" customFormat="false" ht="15" hidden="false" customHeight="false" outlineLevel="0" collapsed="false">
      <c r="A614" s="3" t="s">
        <v>143</v>
      </c>
      <c r="B614" s="28" t="s">
        <v>144</v>
      </c>
      <c r="D614" s="3" t="s">
        <v>15</v>
      </c>
      <c r="E614" s="47" t="n">
        <f aca="false">M625</f>
        <v>291.2650074425</v>
      </c>
    </row>
    <row r="615" customFormat="false" ht="15" hidden="false" customHeight="false" outlineLevel="0" collapsed="false">
      <c r="A615" s="3" t="s">
        <v>145</v>
      </c>
      <c r="B615" s="28" t="s">
        <v>204</v>
      </c>
      <c r="D615" s="3" t="s">
        <v>147</v>
      </c>
      <c r="E615" s="47" t="n">
        <f aca="false">N625</f>
        <v>2531.7650646925</v>
      </c>
    </row>
    <row r="616" customFormat="false" ht="15" hidden="false" customHeight="false" outlineLevel="0" collapsed="false">
      <c r="D616" s="3" t="s">
        <v>16</v>
      </c>
      <c r="E616" s="47" t="n">
        <f aca="false">O625</f>
        <v>699.564935307575</v>
      </c>
    </row>
    <row r="617" customFormat="false" ht="15" hidden="false" customHeight="false" outlineLevel="0" collapsed="false">
      <c r="D617" s="3" t="s">
        <v>8</v>
      </c>
      <c r="E617" s="48" t="n">
        <f aca="false">P625</f>
        <v>0.000101524310283999</v>
      </c>
    </row>
    <row r="618" customFormat="false" ht="15" hidden="false" customHeight="false" outlineLevel="0" collapsed="false">
      <c r="D618" s="3" t="s">
        <v>148</v>
      </c>
      <c r="E618" s="49" t="n">
        <f aca="false">I625</f>
        <v>0</v>
      </c>
    </row>
    <row r="619" customFormat="false" ht="15" hidden="false" customHeight="false" outlineLevel="0" collapsed="false">
      <c r="A619" s="31" t="s">
        <v>149</v>
      </c>
    </row>
    <row r="620" customFormat="false" ht="30" hidden="false" customHeight="true" outlineLevel="0" collapsed="false">
      <c r="A620" s="18" t="s">
        <v>71</v>
      </c>
      <c r="B620" s="18" t="s">
        <v>33</v>
      </c>
      <c r="C620" s="18" t="s">
        <v>36</v>
      </c>
      <c r="D620" s="18" t="s">
        <v>60</v>
      </c>
      <c r="E620" s="18" t="s">
        <v>34</v>
      </c>
      <c r="F620" s="18" t="s">
        <v>37</v>
      </c>
      <c r="G620" s="18" t="s">
        <v>61</v>
      </c>
      <c r="H620" s="18" t="s">
        <v>62</v>
      </c>
      <c r="I620" s="18" t="s">
        <v>35</v>
      </c>
      <c r="J620" s="18" t="s">
        <v>38</v>
      </c>
      <c r="K620" s="18" t="s">
        <v>63</v>
      </c>
      <c r="L620" s="18" t="s">
        <v>39</v>
      </c>
      <c r="M620" s="18" t="s">
        <v>64</v>
      </c>
      <c r="N620" s="18" t="s">
        <v>41</v>
      </c>
      <c r="O620" s="18" t="s">
        <v>7</v>
      </c>
      <c r="P620" s="18" t="s">
        <v>8</v>
      </c>
    </row>
    <row r="621" customFormat="false" ht="15" hidden="false" customHeight="false" outlineLevel="0" collapsed="false">
      <c r="A621" s="6" t="s">
        <v>80</v>
      </c>
      <c r="B621" s="33" t="n">
        <v>2000</v>
      </c>
      <c r="C621" s="33" t="n">
        <v>1197000</v>
      </c>
      <c r="D621" s="9" t="n">
        <f aca="false">IF($B621=0,"",$C621/$B621)</f>
        <v>598.5</v>
      </c>
      <c r="E621" s="33" t="n">
        <v>2000</v>
      </c>
      <c r="F621" s="6" t="n">
        <v>1197075</v>
      </c>
      <c r="G621" s="9" t="n">
        <f aca="false">IF($E621=0,"",$F621/$E621)</f>
        <v>598.5375</v>
      </c>
      <c r="H621" s="9" t="n">
        <f aca="false">IF(OR($B621=0,$E621=0),"N/A",$G621-$D621)</f>
        <v>0.0375000000000227</v>
      </c>
      <c r="I621" s="33" t="n">
        <f aca="false">$B621-$E621</f>
        <v>0</v>
      </c>
      <c r="J621" s="9" t="n">
        <f aca="false">$F621-$C621</f>
        <v>75</v>
      </c>
      <c r="K621" s="6" t="str">
        <f aca="false">IF($E621=0,"—",IF($G621&gt;=Comm_Slab2_Start,"0.0325% of sell value","0.0175 paisa per share"))</f>
        <v>0.0325% of sell value</v>
      </c>
      <c r="L621" s="9" t="n">
        <f aca="false">IF($E621=0,0,IF($G621&gt;=Comm_Slab2_Start,$F621*Comm_Slab2_Rate,$E621*Comm_Slab1_Paisa/Paisa_Per_PKR))</f>
        <v>389.049375</v>
      </c>
      <c r="M621" s="9" t="n">
        <f aca="false">$L621*SST_Rate</f>
        <v>50.57641875</v>
      </c>
      <c r="N621" s="9" t="n">
        <f aca="false">$L621+$M621</f>
        <v>439.62579375</v>
      </c>
      <c r="O621" s="9" t="n">
        <f aca="false">$J621-$N621</f>
        <v>-364.62579375</v>
      </c>
      <c r="P621" s="10" t="n">
        <f aca="false">IF($C621=0,"N/A",$O621/$C621)</f>
        <v>-0.000304616369047619</v>
      </c>
    </row>
    <row r="622" customFormat="false" ht="15" hidden="false" customHeight="false" outlineLevel="0" collapsed="false">
      <c r="A622" s="6" t="s">
        <v>92</v>
      </c>
      <c r="B622" s="33" t="n">
        <v>2500</v>
      </c>
      <c r="C622" s="33" t="n">
        <v>778125</v>
      </c>
      <c r="D622" s="9" t="n">
        <f aca="false">IF($B622=0,"",$C622/$B622)</f>
        <v>311.25</v>
      </c>
      <c r="E622" s="33" t="n">
        <v>2500</v>
      </c>
      <c r="F622" s="6" t="n">
        <v>778125</v>
      </c>
      <c r="G622" s="9" t="n">
        <f aca="false">IF($E622=0,"",$F622/$E622)</f>
        <v>311.25</v>
      </c>
      <c r="H622" s="9" t="n">
        <f aca="false">IF(OR($B622=0,$E622=0),"N/A",$G622-$D622)</f>
        <v>0</v>
      </c>
      <c r="I622" s="33" t="n">
        <f aca="false">$B622-$E622</f>
        <v>0</v>
      </c>
      <c r="J622" s="9" t="n">
        <f aca="false">$F622-$C622</f>
        <v>0</v>
      </c>
      <c r="K622" s="6" t="str">
        <f aca="false">IF($E622=0,"—",IF($G622&gt;=Comm_Slab2_Start,"0.0325% of sell value","0.0175 paisa per share"))</f>
        <v>0.0325% of sell value</v>
      </c>
      <c r="L622" s="9" t="n">
        <f aca="false">IF($E622=0,0,IF($G622&gt;=Comm_Slab2_Start,$F622*Comm_Slab2_Rate,$E622*Comm_Slab1_Paisa/Paisa_Per_PKR))</f>
        <v>252.890625</v>
      </c>
      <c r="M622" s="9" t="n">
        <f aca="false">$L622*SST_Rate</f>
        <v>32.87578125</v>
      </c>
      <c r="N622" s="9" t="n">
        <f aca="false">$L622+$M622</f>
        <v>285.76640625</v>
      </c>
      <c r="O622" s="9" t="n">
        <f aca="false">$J622-$N622</f>
        <v>-285.76640625</v>
      </c>
      <c r="P622" s="10" t="n">
        <f aca="false">IF($C622=0,"N/A",$O622/$C622)</f>
        <v>-0.00036725</v>
      </c>
    </row>
    <row r="623" customFormat="false" ht="15" hidden="false" customHeight="false" outlineLevel="0" collapsed="false">
      <c r="A623" s="6" t="s">
        <v>75</v>
      </c>
      <c r="B623" s="33" t="n">
        <v>10000</v>
      </c>
      <c r="C623" s="33" t="n">
        <v>883000</v>
      </c>
      <c r="D623" s="9" t="n">
        <f aca="false">IF($B623=0,"",$C623/$B623)</f>
        <v>88.3</v>
      </c>
      <c r="E623" s="33" t="n">
        <v>10000</v>
      </c>
      <c r="F623" s="6" t="n">
        <v>885076.33</v>
      </c>
      <c r="G623" s="9" t="n">
        <f aca="false">IF($E623=0,"",$F623/$E623)</f>
        <v>88.507633</v>
      </c>
      <c r="H623" s="9" t="n">
        <f aca="false">IF(OR($B623=0,$E623=0),"N/A",$G623-$D623)</f>
        <v>0.207633000000016</v>
      </c>
      <c r="I623" s="33" t="n">
        <f aca="false">$B623-$E623</f>
        <v>0</v>
      </c>
      <c r="J623" s="9" t="n">
        <f aca="false">$F623-$C623</f>
        <v>2076.33000000007</v>
      </c>
      <c r="K623" s="6" t="str">
        <f aca="false">IF($E623=0,"—",IF($G623&gt;=Comm_Slab2_Start,"0.0325% of sell value","0.0175 paisa per share"))</f>
        <v>0.0325% of sell value</v>
      </c>
      <c r="L623" s="9" t="n">
        <f aca="false">IF($E623=0,0,IF($G623&gt;=Comm_Slab2_Start,$F623*Comm_Slab2_Rate,$E623*Comm_Slab1_Paisa/Paisa_Per_PKR))</f>
        <v>287.64980725</v>
      </c>
      <c r="M623" s="9" t="n">
        <f aca="false">$L623*SST_Rate</f>
        <v>37.3944749425</v>
      </c>
      <c r="N623" s="9" t="n">
        <f aca="false">$L623+$M623</f>
        <v>325.0442821925</v>
      </c>
      <c r="O623" s="9" t="n">
        <f aca="false">$J623-$N623</f>
        <v>1751.28571780757</v>
      </c>
      <c r="P623" s="10" t="n">
        <f aca="false">IF($C623=0,"N/A",$O623/$C623)</f>
        <v>0.00198333603375716</v>
      </c>
    </row>
    <row r="624" customFormat="false" ht="15" hidden="false" customHeight="false" outlineLevel="0" collapsed="false">
      <c r="A624" s="6" t="s">
        <v>79</v>
      </c>
      <c r="B624" s="33" t="n">
        <v>45500</v>
      </c>
      <c r="C624" s="33" t="n">
        <v>4032490</v>
      </c>
      <c r="D624" s="9" t="n">
        <f aca="false">IF($B624=0,"",$C624/$B624)</f>
        <v>88.6261538461538</v>
      </c>
      <c r="E624" s="33" t="n">
        <v>45500</v>
      </c>
      <c r="F624" s="6" t="n">
        <v>4033570</v>
      </c>
      <c r="G624" s="9" t="n">
        <f aca="false">IF($E624=0,"",$F624/$E624)</f>
        <v>88.6498901098901</v>
      </c>
      <c r="H624" s="9" t="n">
        <f aca="false">IF(OR($B624=0,$E624=0),"N/A",$G624-$D624)</f>
        <v>0.0237362637362679</v>
      </c>
      <c r="I624" s="33" t="n">
        <f aca="false">$B624-$E624</f>
        <v>0</v>
      </c>
      <c r="J624" s="9" t="n">
        <f aca="false">$F624-$C624</f>
        <v>1080</v>
      </c>
      <c r="K624" s="6" t="str">
        <f aca="false">IF($E624=0,"—",IF($G624&gt;=Comm_Slab2_Start,"0.0325% of sell value","0.0175 paisa per share"))</f>
        <v>0.0325% of sell value</v>
      </c>
      <c r="L624" s="9" t="n">
        <f aca="false">IF($E624=0,0,IF($G624&gt;=Comm_Slab2_Start,$F624*Comm_Slab2_Rate,$E624*Comm_Slab1_Paisa/Paisa_Per_PKR))</f>
        <v>1310.91025</v>
      </c>
      <c r="M624" s="9" t="n">
        <f aca="false">$L624*SST_Rate</f>
        <v>170.4183325</v>
      </c>
      <c r="N624" s="9" t="n">
        <f aca="false">$L624+$M624</f>
        <v>1481.3285825</v>
      </c>
      <c r="O624" s="9" t="n">
        <f aca="false">$J624-$N624</f>
        <v>-401.3285825</v>
      </c>
      <c r="P624" s="10" t="n">
        <f aca="false">IF($C624=0,"N/A",$O624/$C624)</f>
        <v>-9.95237638531031E-005</v>
      </c>
    </row>
    <row r="625" customFormat="false" ht="15" hidden="false" customHeight="false" outlineLevel="0" collapsed="false">
      <c r="A625" s="29" t="s">
        <v>42</v>
      </c>
      <c r="B625" s="50" t="n">
        <f aca="false">SUM(B621:B624)</f>
        <v>60000</v>
      </c>
      <c r="C625" s="50" t="n">
        <f aca="false">SUM(C621:C624)</f>
        <v>6890615</v>
      </c>
      <c r="D625" s="51" t="n">
        <f aca="false">IF($B625=0,"",$C625/$B625)</f>
        <v>114.843583333333</v>
      </c>
      <c r="E625" s="50" t="n">
        <f aca="false">SUM(E621:E624)</f>
        <v>60000</v>
      </c>
      <c r="F625" s="29" t="n">
        <f aca="false">SUM(F621:F624)</f>
        <v>6893846.33</v>
      </c>
      <c r="G625" s="51" t="n">
        <f aca="false">IF($E625=0,"",$F625/$E625)</f>
        <v>114.897438833333</v>
      </c>
      <c r="H625" s="51" t="n">
        <f aca="false">IF(OR($B625=0,$E625=0),"N/A",$G625-$D625)</f>
        <v>0.0538555000000116</v>
      </c>
      <c r="I625" s="50" t="n">
        <f aca="false">$B625-$E625</f>
        <v>0</v>
      </c>
      <c r="J625" s="51" t="n">
        <f aca="false">SUM(J621:J624)</f>
        <v>3231.33000000007</v>
      </c>
      <c r="K625" s="29"/>
      <c r="L625" s="51" t="n">
        <f aca="false">SUM(L621:L624)</f>
        <v>2240.50005725</v>
      </c>
      <c r="M625" s="51" t="n">
        <f aca="false">SUM(M621:M624)</f>
        <v>291.2650074425</v>
      </c>
      <c r="N625" s="51" t="n">
        <f aca="false">$L625+$M625</f>
        <v>2531.7650646925</v>
      </c>
      <c r="O625" s="51" t="n">
        <f aca="false">SUM(O621:O624)</f>
        <v>699.564935307575</v>
      </c>
      <c r="P625" s="52" t="n">
        <f aca="false">IF($C625=0,"N/A",$O625/$C625)</f>
        <v>0.000101524310283999</v>
      </c>
    </row>
    <row r="628" customFormat="false" ht="19.7" hidden="false" customHeight="false" outlineLevel="0" collapsed="false">
      <c r="A628" s="1" t="s">
        <v>205</v>
      </c>
    </row>
    <row r="629" customFormat="false" ht="15" hidden="false" customHeight="false" outlineLevel="0" collapsed="false">
      <c r="A629" s="2" t="s">
        <v>132</v>
      </c>
      <c r="D629" s="31" t="s">
        <v>133</v>
      </c>
    </row>
    <row r="630" customFormat="false" ht="15" hidden="false" customHeight="false" outlineLevel="0" collapsed="false">
      <c r="A630" s="3" t="s">
        <v>134</v>
      </c>
      <c r="B630" s="27" t="n">
        <v>46301</v>
      </c>
      <c r="D630" s="3" t="s">
        <v>135</v>
      </c>
      <c r="E630" s="47" t="n">
        <f aca="false">C652</f>
        <v>19094353.85</v>
      </c>
    </row>
    <row r="631" customFormat="false" ht="15" hidden="false" customHeight="false" outlineLevel="0" collapsed="false">
      <c r="A631" s="3" t="s">
        <v>136</v>
      </c>
      <c r="B631" s="28" t="s">
        <v>137</v>
      </c>
      <c r="D631" s="3" t="s">
        <v>138</v>
      </c>
      <c r="E631" s="47" t="n">
        <f aca="false">F652</f>
        <v>19099591.11</v>
      </c>
    </row>
    <row r="632" customFormat="false" ht="15" hidden="false" customHeight="false" outlineLevel="0" collapsed="false">
      <c r="A632" s="3" t="s">
        <v>139</v>
      </c>
      <c r="B632" s="28" t="s">
        <v>151</v>
      </c>
      <c r="D632" s="3" t="s">
        <v>11</v>
      </c>
      <c r="E632" s="47" t="n">
        <f aca="false">J652</f>
        <v>5237.25999999978</v>
      </c>
    </row>
    <row r="633" customFormat="false" ht="15" hidden="false" customHeight="false" outlineLevel="0" collapsed="false">
      <c r="A633" s="3" t="s">
        <v>141</v>
      </c>
      <c r="B633" s="28" t="s">
        <v>142</v>
      </c>
      <c r="D633" s="3" t="s">
        <v>13</v>
      </c>
      <c r="E633" s="47" t="n">
        <f aca="false">L652</f>
        <v>5871.66623575</v>
      </c>
    </row>
    <row r="634" customFormat="false" ht="15" hidden="false" customHeight="false" outlineLevel="0" collapsed="false">
      <c r="A634" s="3" t="s">
        <v>143</v>
      </c>
      <c r="B634" s="28" t="s">
        <v>144</v>
      </c>
      <c r="D634" s="3" t="s">
        <v>15</v>
      </c>
      <c r="E634" s="47" t="n">
        <f aca="false">M652</f>
        <v>763.3166106475</v>
      </c>
    </row>
    <row r="635" customFormat="false" ht="15" hidden="false" customHeight="false" outlineLevel="0" collapsed="false">
      <c r="A635" s="3" t="s">
        <v>145</v>
      </c>
      <c r="B635" s="28" t="s">
        <v>206</v>
      </c>
      <c r="D635" s="3" t="s">
        <v>147</v>
      </c>
      <c r="E635" s="47" t="n">
        <f aca="false">N652</f>
        <v>6634.9828463975</v>
      </c>
    </row>
    <row r="636" customFormat="false" ht="15" hidden="false" customHeight="false" outlineLevel="0" collapsed="false">
      <c r="D636" s="3" t="s">
        <v>16</v>
      </c>
      <c r="E636" s="47" t="n">
        <f aca="false">O652</f>
        <v>-1397.72284639772</v>
      </c>
    </row>
    <row r="637" customFormat="false" ht="15" hidden="false" customHeight="false" outlineLevel="0" collapsed="false">
      <c r="D637" s="3" t="s">
        <v>8</v>
      </c>
      <c r="E637" s="48" t="n">
        <f aca="false">P652</f>
        <v>-7.32008455157922E-005</v>
      </c>
    </row>
    <row r="638" customFormat="false" ht="15" hidden="false" customHeight="false" outlineLevel="0" collapsed="false">
      <c r="D638" s="3" t="s">
        <v>148</v>
      </c>
      <c r="E638" s="49" t="n">
        <f aca="false">I652</f>
        <v>0</v>
      </c>
    </row>
    <row r="639" customFormat="false" ht="15" hidden="false" customHeight="false" outlineLevel="0" collapsed="false">
      <c r="A639" s="31" t="s">
        <v>149</v>
      </c>
    </row>
    <row r="640" customFormat="false" ht="30" hidden="false" customHeight="true" outlineLevel="0" collapsed="false">
      <c r="A640" s="18" t="s">
        <v>71</v>
      </c>
      <c r="B640" s="18" t="s">
        <v>33</v>
      </c>
      <c r="C640" s="18" t="s">
        <v>36</v>
      </c>
      <c r="D640" s="18" t="s">
        <v>60</v>
      </c>
      <c r="E640" s="18" t="s">
        <v>34</v>
      </c>
      <c r="F640" s="18" t="s">
        <v>37</v>
      </c>
      <c r="G640" s="18" t="s">
        <v>61</v>
      </c>
      <c r="H640" s="18" t="s">
        <v>62</v>
      </c>
      <c r="I640" s="18" t="s">
        <v>35</v>
      </c>
      <c r="J640" s="18" t="s">
        <v>38</v>
      </c>
      <c r="K640" s="18" t="s">
        <v>63</v>
      </c>
      <c r="L640" s="18" t="s">
        <v>39</v>
      </c>
      <c r="M640" s="18" t="s">
        <v>64</v>
      </c>
      <c r="N640" s="18" t="s">
        <v>41</v>
      </c>
      <c r="O640" s="18" t="s">
        <v>7</v>
      </c>
      <c r="P640" s="18" t="s">
        <v>8</v>
      </c>
    </row>
    <row r="641" customFormat="false" ht="15" hidden="false" customHeight="false" outlineLevel="0" collapsed="false">
      <c r="A641" s="6" t="s">
        <v>86</v>
      </c>
      <c r="B641" s="33" t="n">
        <v>500</v>
      </c>
      <c r="C641" s="33" t="n">
        <v>595500</v>
      </c>
      <c r="D641" s="9" t="n">
        <f aca="false">IF($B641=0,"",$C641/$B641)</f>
        <v>1191</v>
      </c>
      <c r="E641" s="33" t="n">
        <v>500</v>
      </c>
      <c r="F641" s="6" t="n">
        <v>597450</v>
      </c>
      <c r="G641" s="9" t="n">
        <f aca="false">IF($E641=0,"",$F641/$E641)</f>
        <v>1194.9</v>
      </c>
      <c r="H641" s="9" t="n">
        <f aca="false">IF(OR($B641=0,$E641=0),"N/A",$G641-$D641)</f>
        <v>3.90000000000009</v>
      </c>
      <c r="I641" s="33" t="n">
        <f aca="false">$B641-$E641</f>
        <v>0</v>
      </c>
      <c r="J641" s="9" t="n">
        <f aca="false">$F641-$C641</f>
        <v>1950</v>
      </c>
      <c r="K641" s="6" t="str">
        <f aca="false">IF($E641=0,"—",IF($G641&gt;=Comm_Slab2_Start,"0.0325% of sell value","0.0175 paisa per share"))</f>
        <v>0.0325% of sell value</v>
      </c>
      <c r="L641" s="9" t="n">
        <f aca="false">IF($E641=0,0,IF($G641&gt;=Comm_Slab2_Start,$F641*Comm_Slab2_Rate,$E641*Comm_Slab1_Paisa/Paisa_Per_PKR))</f>
        <v>194.17125</v>
      </c>
      <c r="M641" s="9" t="n">
        <f aca="false">$L641*SST_Rate</f>
        <v>25.2422625</v>
      </c>
      <c r="N641" s="9" t="n">
        <f aca="false">$L641+$M641</f>
        <v>219.4135125</v>
      </c>
      <c r="O641" s="9" t="n">
        <f aca="false">$J641-$N641</f>
        <v>1730.5864875</v>
      </c>
      <c r="P641" s="10" t="n">
        <f aca="false">IF($C641=0,"N/A",$O641/$C641)</f>
        <v>0.00290610661209068</v>
      </c>
    </row>
    <row r="642" customFormat="false" ht="15" hidden="false" customHeight="false" outlineLevel="0" collapsed="false">
      <c r="A642" s="6" t="s">
        <v>93</v>
      </c>
      <c r="B642" s="33" t="n">
        <v>2500</v>
      </c>
      <c r="C642" s="33" t="n">
        <v>461500</v>
      </c>
      <c r="D642" s="9" t="n">
        <f aca="false">IF($B642=0,"",$C642/$B642)</f>
        <v>184.6</v>
      </c>
      <c r="E642" s="33" t="n">
        <v>2500</v>
      </c>
      <c r="F642" s="6" t="n">
        <v>463000</v>
      </c>
      <c r="G642" s="9" t="n">
        <f aca="false">IF($E642=0,"",$F642/$E642)</f>
        <v>185.2</v>
      </c>
      <c r="H642" s="9" t="n">
        <f aca="false">IF(OR($B642=0,$E642=0),"N/A",$G642-$D642)</f>
        <v>0.599999999999994</v>
      </c>
      <c r="I642" s="33" t="n">
        <f aca="false">$B642-$E642</f>
        <v>0</v>
      </c>
      <c r="J642" s="9" t="n">
        <f aca="false">$F642-$C642</f>
        <v>1500</v>
      </c>
      <c r="K642" s="6" t="str">
        <f aca="false">IF($E642=0,"—",IF($G642&gt;=Comm_Slab2_Start,"0.0325% of sell value","0.0175 paisa per share"))</f>
        <v>0.0325% of sell value</v>
      </c>
      <c r="L642" s="9" t="n">
        <f aca="false">IF($E642=0,0,IF($G642&gt;=Comm_Slab2_Start,$F642*Comm_Slab2_Rate,$E642*Comm_Slab1_Paisa/Paisa_Per_PKR))</f>
        <v>150.475</v>
      </c>
      <c r="M642" s="9" t="n">
        <f aca="false">$L642*SST_Rate</f>
        <v>19.56175</v>
      </c>
      <c r="N642" s="9" t="n">
        <f aca="false">$L642+$M642</f>
        <v>170.03675</v>
      </c>
      <c r="O642" s="9" t="n">
        <f aca="false">$J642-$N642</f>
        <v>1329.96325</v>
      </c>
      <c r="P642" s="10" t="n">
        <f aca="false">IF($C642=0,"N/A",$O642/$C642)</f>
        <v>0.00288182719393283</v>
      </c>
    </row>
    <row r="643" customFormat="false" ht="15" hidden="false" customHeight="false" outlineLevel="0" collapsed="false">
      <c r="A643" s="6" t="s">
        <v>94</v>
      </c>
      <c r="B643" s="33" t="n">
        <v>5000</v>
      </c>
      <c r="C643" s="33" t="n">
        <v>926000</v>
      </c>
      <c r="D643" s="9" t="n">
        <f aca="false">IF($B643=0,"",$C643/$B643)</f>
        <v>185.2</v>
      </c>
      <c r="E643" s="33" t="n">
        <v>5000</v>
      </c>
      <c r="F643" s="6" t="n">
        <v>927500</v>
      </c>
      <c r="G643" s="9" t="n">
        <f aca="false">IF($E643=0,"",$F643/$E643)</f>
        <v>185.5</v>
      </c>
      <c r="H643" s="9" t="n">
        <f aca="false">IF(OR($B643=0,$E643=0),"N/A",$G643-$D643)</f>
        <v>0.300000000000011</v>
      </c>
      <c r="I643" s="33" t="n">
        <f aca="false">$B643-$E643</f>
        <v>0</v>
      </c>
      <c r="J643" s="9" t="n">
        <f aca="false">$F643-$C643</f>
        <v>1500</v>
      </c>
      <c r="K643" s="6" t="str">
        <f aca="false">IF($E643=0,"—",IF($G643&gt;=Comm_Slab2_Start,"0.0325% of sell value","0.0175 paisa per share"))</f>
        <v>0.0325% of sell value</v>
      </c>
      <c r="L643" s="9" t="n">
        <f aca="false">IF($E643=0,0,IF($G643&gt;=Comm_Slab2_Start,$F643*Comm_Slab2_Rate,$E643*Comm_Slab1_Paisa/Paisa_Per_PKR))</f>
        <v>301.4375</v>
      </c>
      <c r="M643" s="9" t="n">
        <f aca="false">$L643*SST_Rate</f>
        <v>39.186875</v>
      </c>
      <c r="N643" s="9" t="n">
        <f aca="false">$L643+$M643</f>
        <v>340.624375</v>
      </c>
      <c r="O643" s="9" t="n">
        <f aca="false">$J643-$N643</f>
        <v>1159.375625</v>
      </c>
      <c r="P643" s="10" t="n">
        <f aca="false">IF($C643=0,"N/A",$O643/$C643)</f>
        <v>0.00125202551295896</v>
      </c>
    </row>
    <row r="644" customFormat="false" ht="15" hidden="false" customHeight="false" outlineLevel="0" collapsed="false">
      <c r="A644" s="6" t="s">
        <v>81</v>
      </c>
      <c r="B644" s="33" t="n">
        <v>20000</v>
      </c>
      <c r="C644" s="33" t="n">
        <v>1042000</v>
      </c>
      <c r="D644" s="9" t="n">
        <f aca="false">IF($B644=0,"",$C644/$B644)</f>
        <v>52.1</v>
      </c>
      <c r="E644" s="33" t="n">
        <v>20000</v>
      </c>
      <c r="F644" s="6" t="n">
        <v>1043695</v>
      </c>
      <c r="G644" s="9" t="n">
        <f aca="false">IF($E644=0,"",$F644/$E644)</f>
        <v>52.18475</v>
      </c>
      <c r="H644" s="9" t="n">
        <f aca="false">IF(OR($B644=0,$E644=0),"N/A",$G644-$D644)</f>
        <v>0.0847499999999997</v>
      </c>
      <c r="I644" s="33" t="n">
        <f aca="false">$B644-$E644</f>
        <v>0</v>
      </c>
      <c r="J644" s="9" t="n">
        <f aca="false">$F644-$C644</f>
        <v>1695</v>
      </c>
      <c r="K644" s="6" t="str">
        <f aca="false">IF($E644=0,"—",IF($G644&gt;=Comm_Slab2_Start,"0.0325% of sell value","0.0175 paisa per share"))</f>
        <v>0.0175 paisa per share</v>
      </c>
      <c r="L644" s="9" t="n">
        <f aca="false">IF($E644=0,0,IF($G644&gt;=Comm_Slab2_Start,$F644*Comm_Slab2_Rate,$E644*Comm_Slab1_Paisa/Paisa_Per_PKR))</f>
        <v>3.5</v>
      </c>
      <c r="M644" s="9" t="n">
        <f aca="false">$L644*SST_Rate</f>
        <v>0.455</v>
      </c>
      <c r="N644" s="9" t="n">
        <f aca="false">$L644+$M644</f>
        <v>3.955</v>
      </c>
      <c r="O644" s="9" t="n">
        <f aca="false">$J644-$N644</f>
        <v>1691.045</v>
      </c>
      <c r="P644" s="10" t="n">
        <f aca="false">IF($C644=0,"N/A",$O644/$C644)</f>
        <v>0.00162288387715931</v>
      </c>
    </row>
    <row r="645" customFormat="false" ht="15" hidden="false" customHeight="false" outlineLevel="0" collapsed="false">
      <c r="A645" s="6" t="s">
        <v>97</v>
      </c>
      <c r="B645" s="33" t="n">
        <v>1000</v>
      </c>
      <c r="C645" s="33" t="n">
        <v>504000</v>
      </c>
      <c r="D645" s="9" t="n">
        <f aca="false">IF($B645=0,"",$C645/$B645)</f>
        <v>504</v>
      </c>
      <c r="E645" s="33" t="n">
        <v>1000</v>
      </c>
      <c r="F645" s="6" t="n">
        <v>505150</v>
      </c>
      <c r="G645" s="9" t="n">
        <f aca="false">IF($E645=0,"",$F645/$E645)</f>
        <v>505.15</v>
      </c>
      <c r="H645" s="9" t="n">
        <f aca="false">IF(OR($B645=0,$E645=0),"N/A",$G645-$D645)</f>
        <v>1.14999999999998</v>
      </c>
      <c r="I645" s="33" t="n">
        <f aca="false">$B645-$E645</f>
        <v>0</v>
      </c>
      <c r="J645" s="9" t="n">
        <f aca="false">$F645-$C645</f>
        <v>1150</v>
      </c>
      <c r="K645" s="6" t="str">
        <f aca="false">IF($E645=0,"—",IF($G645&gt;=Comm_Slab2_Start,"0.0325% of sell value","0.0175 paisa per share"))</f>
        <v>0.0325% of sell value</v>
      </c>
      <c r="L645" s="9" t="n">
        <f aca="false">IF($E645=0,0,IF($G645&gt;=Comm_Slab2_Start,$F645*Comm_Slab2_Rate,$E645*Comm_Slab1_Paisa/Paisa_Per_PKR))</f>
        <v>164.17375</v>
      </c>
      <c r="M645" s="9" t="n">
        <f aca="false">$L645*SST_Rate</f>
        <v>21.3425875</v>
      </c>
      <c r="N645" s="9" t="n">
        <f aca="false">$L645+$M645</f>
        <v>185.5163375</v>
      </c>
      <c r="O645" s="9" t="n">
        <f aca="false">$J645-$N645</f>
        <v>964.4836625</v>
      </c>
      <c r="P645" s="10" t="n">
        <f aca="false">IF($C645=0,"N/A",$O645/$C645)</f>
        <v>0.00191365806051587</v>
      </c>
    </row>
    <row r="646" customFormat="false" ht="15" hidden="false" customHeight="false" outlineLevel="0" collapsed="false">
      <c r="A646" s="6" t="s">
        <v>111</v>
      </c>
      <c r="B646" s="33" t="n">
        <v>10000</v>
      </c>
      <c r="C646" s="33" t="n">
        <v>905095</v>
      </c>
      <c r="D646" s="9" t="n">
        <f aca="false">IF($B646=0,"",$C646/$B646)</f>
        <v>90.5095</v>
      </c>
      <c r="E646" s="33" t="n">
        <v>10000</v>
      </c>
      <c r="F646" s="6" t="n">
        <v>905900</v>
      </c>
      <c r="G646" s="9" t="n">
        <f aca="false">IF($E646=0,"",$F646/$E646)</f>
        <v>90.59</v>
      </c>
      <c r="H646" s="9" t="n">
        <f aca="false">IF(OR($B646=0,$E646=0),"N/A",$G646-$D646)</f>
        <v>0.0805000000000007</v>
      </c>
      <c r="I646" s="33" t="n">
        <f aca="false">$B646-$E646</f>
        <v>0</v>
      </c>
      <c r="J646" s="9" t="n">
        <f aca="false">$F646-$C646</f>
        <v>805</v>
      </c>
      <c r="K646" s="6" t="str">
        <f aca="false">IF($E646=0,"—",IF($G646&gt;=Comm_Slab2_Start,"0.0325% of sell value","0.0175 paisa per share"))</f>
        <v>0.0325% of sell value</v>
      </c>
      <c r="L646" s="9" t="n">
        <f aca="false">IF($E646=0,0,IF($G646&gt;=Comm_Slab2_Start,$F646*Comm_Slab2_Rate,$E646*Comm_Slab1_Paisa/Paisa_Per_PKR))</f>
        <v>294.4175</v>
      </c>
      <c r="M646" s="9" t="n">
        <f aca="false">$L646*SST_Rate</f>
        <v>38.274275</v>
      </c>
      <c r="N646" s="9" t="n">
        <f aca="false">$L646+$M646</f>
        <v>332.691775</v>
      </c>
      <c r="O646" s="9" t="n">
        <f aca="false">$J646-$N646</f>
        <v>472.308225</v>
      </c>
      <c r="P646" s="10" t="n">
        <f aca="false">IF($C646=0,"N/A",$O646/$C646)</f>
        <v>0.000521832763411576</v>
      </c>
    </row>
    <row r="647" customFormat="false" ht="15" hidden="false" customHeight="false" outlineLevel="0" collapsed="false">
      <c r="A647" s="6" t="s">
        <v>80</v>
      </c>
      <c r="B647" s="33" t="n">
        <v>3500</v>
      </c>
      <c r="C647" s="33" t="n">
        <v>2154815</v>
      </c>
      <c r="D647" s="9" t="n">
        <f aca="false">IF($B647=0,"",$C647/$B647)</f>
        <v>615.661428571429</v>
      </c>
      <c r="E647" s="33" t="n">
        <v>3500</v>
      </c>
      <c r="F647" s="6" t="n">
        <v>2155245</v>
      </c>
      <c r="G647" s="9" t="n">
        <f aca="false">IF($E647=0,"",$F647/$E647)</f>
        <v>615.784285714286</v>
      </c>
      <c r="H647" s="9" t="n">
        <f aca="false">IF(OR($B647=0,$E647=0),"N/A",$G647-$D647)</f>
        <v>0.122857142857129</v>
      </c>
      <c r="I647" s="33" t="n">
        <f aca="false">$B647-$E647</f>
        <v>0</v>
      </c>
      <c r="J647" s="9" t="n">
        <f aca="false">$F647-$C647</f>
        <v>430</v>
      </c>
      <c r="K647" s="6" t="str">
        <f aca="false">IF($E647=0,"—",IF($G647&gt;=Comm_Slab2_Start,"0.0325% of sell value","0.0175 paisa per share"))</f>
        <v>0.0325% of sell value</v>
      </c>
      <c r="L647" s="9" t="n">
        <f aca="false">IF($E647=0,0,IF($G647&gt;=Comm_Slab2_Start,$F647*Comm_Slab2_Rate,$E647*Comm_Slab1_Paisa/Paisa_Per_PKR))</f>
        <v>700.454625</v>
      </c>
      <c r="M647" s="9" t="n">
        <f aca="false">$L647*SST_Rate</f>
        <v>91.05910125</v>
      </c>
      <c r="N647" s="9" t="n">
        <f aca="false">$L647+$M647</f>
        <v>791.51372625</v>
      </c>
      <c r="O647" s="9" t="n">
        <f aca="false">$J647-$N647</f>
        <v>-361.51372625</v>
      </c>
      <c r="P647" s="10" t="n">
        <f aca="false">IF($C647=0,"N/A",$O647/$C647)</f>
        <v>-0.000167770191988639</v>
      </c>
    </row>
    <row r="648" customFormat="false" ht="15" hidden="false" customHeight="false" outlineLevel="0" collapsed="false">
      <c r="A648" s="6" t="s">
        <v>92</v>
      </c>
      <c r="B648" s="33" t="n">
        <v>6735</v>
      </c>
      <c r="C648" s="33" t="n">
        <v>2096638.85</v>
      </c>
      <c r="D648" s="9" t="n">
        <f aca="false">IF($B648=0,"",$C648/$B648)</f>
        <v>311.304951744618</v>
      </c>
      <c r="E648" s="33" t="n">
        <v>6735</v>
      </c>
      <c r="F648" s="6" t="n">
        <v>2098271.11</v>
      </c>
      <c r="G648" s="9" t="n">
        <f aca="false">IF($E648=0,"",$F648/$E648)</f>
        <v>311.547306607275</v>
      </c>
      <c r="H648" s="9" t="n">
        <f aca="false">IF(OR($B648=0,$E648=0),"N/A",$G648-$D648)</f>
        <v>0.242354862657692</v>
      </c>
      <c r="I648" s="33" t="n">
        <f aca="false">$B648-$E648</f>
        <v>0</v>
      </c>
      <c r="J648" s="9" t="n">
        <f aca="false">$F648-$C648</f>
        <v>1632.25999999978</v>
      </c>
      <c r="K648" s="6" t="str">
        <f aca="false">IF($E648=0,"—",IF($G648&gt;=Comm_Slab2_Start,"0.0325% of sell value","0.0175 paisa per share"))</f>
        <v>0.0325% of sell value</v>
      </c>
      <c r="L648" s="9" t="n">
        <f aca="false">IF($E648=0,0,IF($G648&gt;=Comm_Slab2_Start,$F648*Comm_Slab2_Rate,$E648*Comm_Slab1_Paisa/Paisa_Per_PKR))</f>
        <v>681.93811075</v>
      </c>
      <c r="M648" s="9" t="n">
        <f aca="false">$L648*SST_Rate</f>
        <v>88.6519543975</v>
      </c>
      <c r="N648" s="9" t="n">
        <f aca="false">$L648+$M648</f>
        <v>770.5900651475</v>
      </c>
      <c r="O648" s="9" t="n">
        <f aca="false">$J648-$N648</f>
        <v>861.669934852277</v>
      </c>
      <c r="P648" s="10" t="n">
        <f aca="false">IF($C648=0,"N/A",$O648/$C648)</f>
        <v>0.000410976804542316</v>
      </c>
    </row>
    <row r="649" customFormat="false" ht="15" hidden="false" customHeight="false" outlineLevel="0" collapsed="false">
      <c r="A649" s="6" t="s">
        <v>129</v>
      </c>
      <c r="B649" s="33" t="n">
        <v>5000</v>
      </c>
      <c r="C649" s="33" t="n">
        <v>1544605</v>
      </c>
      <c r="D649" s="9" t="n">
        <f aca="false">IF($B649=0,"",$C649/$B649)</f>
        <v>308.921</v>
      </c>
      <c r="E649" s="33" t="n">
        <v>5000</v>
      </c>
      <c r="F649" s="6" t="n">
        <v>1542090</v>
      </c>
      <c r="G649" s="9" t="n">
        <f aca="false">IF($E649=0,"",$F649/$E649)</f>
        <v>308.418</v>
      </c>
      <c r="H649" s="9" t="n">
        <f aca="false">IF(OR($B649=0,$E649=0),"N/A",$G649-$D649)</f>
        <v>-0.502999999999986</v>
      </c>
      <c r="I649" s="33" t="n">
        <f aca="false">$B649-$E649</f>
        <v>0</v>
      </c>
      <c r="J649" s="9" t="n">
        <f aca="false">$F649-$C649</f>
        <v>-2515</v>
      </c>
      <c r="K649" s="6" t="str">
        <f aca="false">IF($E649=0,"—",IF($G649&gt;=Comm_Slab2_Start,"0.0325% of sell value","0.0175 paisa per share"))</f>
        <v>0.0325% of sell value</v>
      </c>
      <c r="L649" s="9" t="n">
        <f aca="false">IF($E649=0,0,IF($G649&gt;=Comm_Slab2_Start,$F649*Comm_Slab2_Rate,$E649*Comm_Slab1_Paisa/Paisa_Per_PKR))</f>
        <v>501.17925</v>
      </c>
      <c r="M649" s="9" t="n">
        <f aca="false">$L649*SST_Rate</f>
        <v>65.1533025</v>
      </c>
      <c r="N649" s="9" t="n">
        <f aca="false">$L649+$M649</f>
        <v>566.3325525</v>
      </c>
      <c r="O649" s="9" t="n">
        <f aca="false">$J649-$N649</f>
        <v>-3081.3325525</v>
      </c>
      <c r="P649" s="10" t="n">
        <f aca="false">IF($C649=0,"N/A",$O649/$C649)</f>
        <v>-0.00199490002460176</v>
      </c>
    </row>
    <row r="650" customFormat="false" ht="15" hidden="false" customHeight="false" outlineLevel="0" collapsed="false">
      <c r="A650" s="6" t="s">
        <v>100</v>
      </c>
      <c r="B650" s="33" t="n">
        <v>17000</v>
      </c>
      <c r="C650" s="33" t="n">
        <v>3744665</v>
      </c>
      <c r="D650" s="9" t="n">
        <f aca="false">IF($B650=0,"",$C650/$B650)</f>
        <v>220.274411764706</v>
      </c>
      <c r="E650" s="33" t="n">
        <v>17000</v>
      </c>
      <c r="F650" s="6" t="n">
        <v>3743590</v>
      </c>
      <c r="G650" s="9" t="n">
        <f aca="false">IF($E650=0,"",$F650/$E650)</f>
        <v>220.211176470588</v>
      </c>
      <c r="H650" s="9" t="n">
        <f aca="false">IF(OR($B650=0,$E650=0),"N/A",$G650-$D650)</f>
        <v>-0.0632352941176464</v>
      </c>
      <c r="I650" s="33" t="n">
        <f aca="false">$B650-$E650</f>
        <v>0</v>
      </c>
      <c r="J650" s="9" t="n">
        <f aca="false">$F650-$C650</f>
        <v>-1075</v>
      </c>
      <c r="K650" s="6" t="str">
        <f aca="false">IF($E650=0,"—",IF($G650&gt;=Comm_Slab2_Start,"0.0325% of sell value","0.0175 paisa per share"))</f>
        <v>0.0325% of sell value</v>
      </c>
      <c r="L650" s="9" t="n">
        <f aca="false">IF($E650=0,0,IF($G650&gt;=Comm_Slab2_Start,$F650*Comm_Slab2_Rate,$E650*Comm_Slab1_Paisa/Paisa_Per_PKR))</f>
        <v>1216.66675</v>
      </c>
      <c r="M650" s="9" t="n">
        <f aca="false">$L650*SST_Rate</f>
        <v>158.1666775</v>
      </c>
      <c r="N650" s="9" t="n">
        <f aca="false">$L650+$M650</f>
        <v>1374.8334275</v>
      </c>
      <c r="O650" s="9" t="n">
        <f aca="false">$J650-$N650</f>
        <v>-2449.8334275</v>
      </c>
      <c r="P650" s="10" t="n">
        <f aca="false">IF($C650=0,"N/A",$O650/$C650)</f>
        <v>-0.00065421965048943</v>
      </c>
    </row>
    <row r="651" customFormat="false" ht="15" hidden="false" customHeight="false" outlineLevel="0" collapsed="false">
      <c r="A651" s="6" t="s">
        <v>79</v>
      </c>
      <c r="B651" s="33" t="n">
        <v>55000</v>
      </c>
      <c r="C651" s="33" t="n">
        <v>5119535</v>
      </c>
      <c r="D651" s="9" t="n">
        <f aca="false">IF($B651=0,"",$C651/$B651)</f>
        <v>93.0824545454545</v>
      </c>
      <c r="E651" s="33" t="n">
        <v>55000</v>
      </c>
      <c r="F651" s="6" t="n">
        <v>5117700</v>
      </c>
      <c r="G651" s="9" t="n">
        <f aca="false">IF($E651=0,"",$F651/$E651)</f>
        <v>93.0490909090909</v>
      </c>
      <c r="H651" s="9" t="n">
        <f aca="false">IF(OR($B651=0,$E651=0),"N/A",$G651-$D651)</f>
        <v>-0.0333636363636316</v>
      </c>
      <c r="I651" s="33" t="n">
        <f aca="false">$B651-$E651</f>
        <v>0</v>
      </c>
      <c r="J651" s="9" t="n">
        <f aca="false">$F651-$C651</f>
        <v>-1835</v>
      </c>
      <c r="K651" s="6" t="str">
        <f aca="false">IF($E651=0,"—",IF($G651&gt;=Comm_Slab2_Start,"0.0325% of sell value","0.0175 paisa per share"))</f>
        <v>0.0325% of sell value</v>
      </c>
      <c r="L651" s="9" t="n">
        <f aca="false">IF($E651=0,0,IF($G651&gt;=Comm_Slab2_Start,$F651*Comm_Slab2_Rate,$E651*Comm_Slab1_Paisa/Paisa_Per_PKR))</f>
        <v>1663.2525</v>
      </c>
      <c r="M651" s="9" t="n">
        <f aca="false">$L651*SST_Rate</f>
        <v>216.222825</v>
      </c>
      <c r="N651" s="9" t="n">
        <f aca="false">$L651+$M651</f>
        <v>1879.475325</v>
      </c>
      <c r="O651" s="9" t="n">
        <f aca="false">$J651-$N651</f>
        <v>-3714.475325</v>
      </c>
      <c r="P651" s="10" t="n">
        <f aca="false">IF($C651=0,"N/A",$O651/$C651)</f>
        <v>-0.000725549356533357</v>
      </c>
    </row>
    <row r="652" customFormat="false" ht="15" hidden="false" customHeight="false" outlineLevel="0" collapsed="false">
      <c r="A652" s="29" t="s">
        <v>42</v>
      </c>
      <c r="B652" s="50" t="n">
        <f aca="false">SUM(B641:B651)</f>
        <v>126235</v>
      </c>
      <c r="C652" s="50" t="n">
        <f aca="false">SUM(C641:C651)</f>
        <v>19094353.85</v>
      </c>
      <c r="D652" s="51" t="n">
        <f aca="false">IF($B652=0,"",$C652/$B652)</f>
        <v>151.260378262764</v>
      </c>
      <c r="E652" s="50" t="n">
        <f aca="false">SUM(E641:E651)</f>
        <v>126235</v>
      </c>
      <c r="F652" s="29" t="n">
        <f aca="false">SUM(F641:F651)</f>
        <v>19099591.11</v>
      </c>
      <c r="G652" s="51" t="n">
        <f aca="false">IF($E652=0,"",$F652/$E652)</f>
        <v>151.301866439577</v>
      </c>
      <c r="H652" s="51" t="n">
        <f aca="false">IF(OR($B652=0,$E652=0),"N/A",$G652-$D652)</f>
        <v>0.0414881768130613</v>
      </c>
      <c r="I652" s="50" t="n">
        <f aca="false">$B652-$E652</f>
        <v>0</v>
      </c>
      <c r="J652" s="51" t="n">
        <f aca="false">SUM(J641:J651)</f>
        <v>5237.25999999978</v>
      </c>
      <c r="K652" s="29"/>
      <c r="L652" s="51" t="n">
        <f aca="false">SUM(L641:L651)</f>
        <v>5871.66623575</v>
      </c>
      <c r="M652" s="51" t="n">
        <f aca="false">SUM(M641:M651)</f>
        <v>763.3166106475</v>
      </c>
      <c r="N652" s="51" t="n">
        <f aca="false">$L652+$M652</f>
        <v>6634.9828463975</v>
      </c>
      <c r="O652" s="51" t="n">
        <f aca="false">SUM(O641:O651)</f>
        <v>-1397.72284639772</v>
      </c>
      <c r="P652" s="52" t="n">
        <f aca="false">IF($C652=0,"N/A",$O652/$C652)</f>
        <v>-7.32008455157922E-005</v>
      </c>
    </row>
    <row r="655" customFormat="false" ht="19.7" hidden="false" customHeight="false" outlineLevel="0" collapsed="false">
      <c r="A655" s="1" t="s">
        <v>207</v>
      </c>
    </row>
    <row r="656" customFormat="false" ht="15" hidden="false" customHeight="false" outlineLevel="0" collapsed="false">
      <c r="A656" s="2" t="s">
        <v>132</v>
      </c>
      <c r="D656" s="31" t="s">
        <v>133</v>
      </c>
    </row>
    <row r="657" customFormat="false" ht="15" hidden="false" customHeight="false" outlineLevel="0" collapsed="false">
      <c r="A657" s="3" t="s">
        <v>134</v>
      </c>
      <c r="B657" s="27" t="n">
        <v>46302</v>
      </c>
      <c r="D657" s="3" t="s">
        <v>135</v>
      </c>
      <c r="E657" s="47" t="n">
        <f aca="false">C678</f>
        <v>15990980.2</v>
      </c>
    </row>
    <row r="658" customFormat="false" ht="15" hidden="false" customHeight="false" outlineLevel="0" collapsed="false">
      <c r="A658" s="3" t="s">
        <v>136</v>
      </c>
      <c r="B658" s="28" t="s">
        <v>137</v>
      </c>
      <c r="D658" s="3" t="s">
        <v>138</v>
      </c>
      <c r="E658" s="47" t="n">
        <f aca="false">F678</f>
        <v>16004711.04</v>
      </c>
    </row>
    <row r="659" customFormat="false" ht="15" hidden="false" customHeight="false" outlineLevel="0" collapsed="false">
      <c r="A659" s="3" t="s">
        <v>139</v>
      </c>
      <c r="B659" s="28" t="s">
        <v>151</v>
      </c>
      <c r="D659" s="3" t="s">
        <v>11</v>
      </c>
      <c r="E659" s="47" t="n">
        <f aca="false">J678</f>
        <v>13730.8400000001</v>
      </c>
    </row>
    <row r="660" customFormat="false" ht="15" hidden="false" customHeight="false" outlineLevel="0" collapsed="false">
      <c r="A660" s="3" t="s">
        <v>141</v>
      </c>
      <c r="B660" s="28" t="s">
        <v>142</v>
      </c>
      <c r="D660" s="3" t="s">
        <v>13</v>
      </c>
      <c r="E660" s="47" t="n">
        <f aca="false">L678</f>
        <v>5201.531088</v>
      </c>
    </row>
    <row r="661" customFormat="false" ht="15" hidden="false" customHeight="false" outlineLevel="0" collapsed="false">
      <c r="A661" s="3" t="s">
        <v>143</v>
      </c>
      <c r="B661" s="28" t="s">
        <v>144</v>
      </c>
      <c r="D661" s="3" t="s">
        <v>15</v>
      </c>
      <c r="E661" s="47" t="n">
        <f aca="false">M678</f>
        <v>676.19904144</v>
      </c>
    </row>
    <row r="662" customFormat="false" ht="15" hidden="false" customHeight="false" outlineLevel="0" collapsed="false">
      <c r="A662" s="3" t="s">
        <v>145</v>
      </c>
      <c r="B662" s="28" t="s">
        <v>208</v>
      </c>
      <c r="D662" s="3" t="s">
        <v>147</v>
      </c>
      <c r="E662" s="47" t="n">
        <f aca="false">N678</f>
        <v>5877.73012944</v>
      </c>
    </row>
    <row r="663" customFormat="false" ht="15" hidden="false" customHeight="false" outlineLevel="0" collapsed="false">
      <c r="D663" s="3" t="s">
        <v>16</v>
      </c>
      <c r="E663" s="47" t="n">
        <f aca="false">O678</f>
        <v>7853.10987056008</v>
      </c>
    </row>
    <row r="664" customFormat="false" ht="15" hidden="false" customHeight="false" outlineLevel="0" collapsed="false">
      <c r="D664" s="3" t="s">
        <v>8</v>
      </c>
      <c r="E664" s="48" t="n">
        <f aca="false">P678</f>
        <v>0.000491096216263221</v>
      </c>
    </row>
    <row r="665" customFormat="false" ht="15" hidden="false" customHeight="false" outlineLevel="0" collapsed="false">
      <c r="D665" s="3" t="s">
        <v>148</v>
      </c>
      <c r="E665" s="49" t="n">
        <f aca="false">I678</f>
        <v>0</v>
      </c>
    </row>
    <row r="666" customFormat="false" ht="15" hidden="false" customHeight="false" outlineLevel="0" collapsed="false">
      <c r="A666" s="31" t="s">
        <v>149</v>
      </c>
    </row>
    <row r="667" customFormat="false" ht="30" hidden="false" customHeight="true" outlineLevel="0" collapsed="false">
      <c r="A667" s="18" t="s">
        <v>71</v>
      </c>
      <c r="B667" s="18" t="s">
        <v>33</v>
      </c>
      <c r="C667" s="18" t="s">
        <v>36</v>
      </c>
      <c r="D667" s="18" t="s">
        <v>60</v>
      </c>
      <c r="E667" s="18" t="s">
        <v>34</v>
      </c>
      <c r="F667" s="18" t="s">
        <v>37</v>
      </c>
      <c r="G667" s="18" t="s">
        <v>61</v>
      </c>
      <c r="H667" s="18" t="s">
        <v>62</v>
      </c>
      <c r="I667" s="18" t="s">
        <v>35</v>
      </c>
      <c r="J667" s="18" t="s">
        <v>38</v>
      </c>
      <c r="K667" s="18" t="s">
        <v>63</v>
      </c>
      <c r="L667" s="18" t="s">
        <v>39</v>
      </c>
      <c r="M667" s="18" t="s">
        <v>64</v>
      </c>
      <c r="N667" s="18" t="s">
        <v>41</v>
      </c>
      <c r="O667" s="18" t="s">
        <v>7</v>
      </c>
      <c r="P667" s="18" t="s">
        <v>8</v>
      </c>
    </row>
    <row r="668" customFormat="false" ht="15" hidden="false" customHeight="false" outlineLevel="0" collapsed="false">
      <c r="A668" s="6" t="s">
        <v>86</v>
      </c>
      <c r="B668" s="33" t="n">
        <v>500</v>
      </c>
      <c r="C668" s="33" t="n">
        <v>602445</v>
      </c>
      <c r="D668" s="9" t="n">
        <f aca="false">IF($B668=0,"",$C668/$B668)</f>
        <v>1204.89</v>
      </c>
      <c r="E668" s="33" t="n">
        <v>500</v>
      </c>
      <c r="F668" s="6" t="n">
        <v>604950</v>
      </c>
      <c r="G668" s="9" t="n">
        <f aca="false">IF($E668=0,"",$F668/$E668)</f>
        <v>1209.9</v>
      </c>
      <c r="H668" s="9" t="n">
        <f aca="false">IF(OR($B668=0,$E668=0),"N/A",$G668-$D668)</f>
        <v>5.00999999999999</v>
      </c>
      <c r="I668" s="33" t="n">
        <f aca="false">$B668-$E668</f>
        <v>0</v>
      </c>
      <c r="J668" s="9" t="n">
        <f aca="false">$F668-$C668</f>
        <v>2505</v>
      </c>
      <c r="K668" s="6" t="str">
        <f aca="false">IF($E668=0,"—",IF($G668&gt;=Comm_Slab2_Start,"0.0325% of sell value","0.0175 paisa per share"))</f>
        <v>0.0325% of sell value</v>
      </c>
      <c r="L668" s="9" t="n">
        <f aca="false">IF($E668=0,0,IF($G668&gt;=Comm_Slab2_Start,$F668*Comm_Slab2_Rate,$E668*Comm_Slab1_Paisa/Paisa_Per_PKR))</f>
        <v>196.60875</v>
      </c>
      <c r="M668" s="9" t="n">
        <f aca="false">$L668*SST_Rate</f>
        <v>25.5591375</v>
      </c>
      <c r="N668" s="9" t="n">
        <f aca="false">$L668+$M668</f>
        <v>222.1678875</v>
      </c>
      <c r="O668" s="9" t="n">
        <f aca="false">$J668-$N668</f>
        <v>2282.8321125</v>
      </c>
      <c r="P668" s="10" t="n">
        <f aca="false">IF($C668=0,"N/A",$O668/$C668)</f>
        <v>0.00378927887607997</v>
      </c>
    </row>
    <row r="669" customFormat="false" ht="15" hidden="false" customHeight="false" outlineLevel="0" collapsed="false">
      <c r="A669" s="6" t="s">
        <v>80</v>
      </c>
      <c r="B669" s="33" t="n">
        <v>3000</v>
      </c>
      <c r="C669" s="33" t="n">
        <v>1938485</v>
      </c>
      <c r="D669" s="9" t="n">
        <f aca="false">IF($B669=0,"",$C669/$B669)</f>
        <v>646.161666666667</v>
      </c>
      <c r="E669" s="33" t="n">
        <v>3000</v>
      </c>
      <c r="F669" s="6" t="n">
        <v>1939390</v>
      </c>
      <c r="G669" s="9" t="n">
        <f aca="false">IF($E669=0,"",$F669/$E669)</f>
        <v>646.463333333333</v>
      </c>
      <c r="H669" s="9" t="n">
        <f aca="false">IF(OR($B669=0,$E669=0),"N/A",$G669-$D669)</f>
        <v>0.301666666666733</v>
      </c>
      <c r="I669" s="33" t="n">
        <f aca="false">$B669-$E669</f>
        <v>0</v>
      </c>
      <c r="J669" s="9" t="n">
        <f aca="false">$F669-$C669</f>
        <v>905</v>
      </c>
      <c r="K669" s="6" t="str">
        <f aca="false">IF($E669=0,"—",IF($G669&gt;=Comm_Slab2_Start,"0.0325% of sell value","0.0175 paisa per share"))</f>
        <v>0.0325% of sell value</v>
      </c>
      <c r="L669" s="9" t="n">
        <f aca="false">IF($E669=0,0,IF($G669&gt;=Comm_Slab2_Start,$F669*Comm_Slab2_Rate,$E669*Comm_Slab1_Paisa/Paisa_Per_PKR))</f>
        <v>630.30175</v>
      </c>
      <c r="M669" s="9" t="n">
        <f aca="false">$L669*SST_Rate</f>
        <v>81.9392275</v>
      </c>
      <c r="N669" s="9" t="n">
        <f aca="false">$L669+$M669</f>
        <v>712.2409775</v>
      </c>
      <c r="O669" s="9" t="n">
        <f aca="false">$J669-$N669</f>
        <v>192.7590225</v>
      </c>
      <c r="P669" s="10" t="n">
        <f aca="false">IF($C669=0,"N/A",$O669/$C669)</f>
        <v>9.94379747586388E-005</v>
      </c>
    </row>
    <row r="670" customFormat="false" ht="15" hidden="false" customHeight="false" outlineLevel="0" collapsed="false">
      <c r="A670" s="6" t="s">
        <v>92</v>
      </c>
      <c r="B670" s="33" t="n">
        <v>4829</v>
      </c>
      <c r="C670" s="33" t="n">
        <v>1528969.3</v>
      </c>
      <c r="D670" s="9" t="n">
        <f aca="false">IF($B670=0,"",$C670/$B670)</f>
        <v>316.622344170636</v>
      </c>
      <c r="E670" s="33" t="n">
        <v>4829</v>
      </c>
      <c r="F670" s="6" t="n">
        <v>1530403.13</v>
      </c>
      <c r="G670" s="9" t="n">
        <f aca="false">IF($E670=0,"",$F670/$E670)</f>
        <v>316.919264858149</v>
      </c>
      <c r="H670" s="9" t="n">
        <f aca="false">IF(OR($B670=0,$E670=0),"N/A",$G670-$D670)</f>
        <v>0.296920687512909</v>
      </c>
      <c r="I670" s="33" t="n">
        <f aca="false">$B670-$E670</f>
        <v>0</v>
      </c>
      <c r="J670" s="9" t="n">
        <f aca="false">$F670-$C670</f>
        <v>1433.82999999984</v>
      </c>
      <c r="K670" s="6" t="str">
        <f aca="false">IF($E670=0,"—",IF($G670&gt;=Comm_Slab2_Start,"0.0325% of sell value","0.0175 paisa per share"))</f>
        <v>0.0325% of sell value</v>
      </c>
      <c r="L670" s="9" t="n">
        <f aca="false">IF($E670=0,0,IF($G670&gt;=Comm_Slab2_Start,$F670*Comm_Slab2_Rate,$E670*Comm_Slab1_Paisa/Paisa_Per_PKR))</f>
        <v>497.38101725</v>
      </c>
      <c r="M670" s="9" t="n">
        <f aca="false">$L670*SST_Rate</f>
        <v>64.6595322425</v>
      </c>
      <c r="N670" s="9" t="n">
        <f aca="false">$L670+$M670</f>
        <v>562.0405494925</v>
      </c>
      <c r="O670" s="9" t="n">
        <f aca="false">$J670-$N670</f>
        <v>871.789450507342</v>
      </c>
      <c r="P670" s="10" t="n">
        <f aca="false">IF($C670=0,"N/A",$O670/$C670)</f>
        <v>0.000570181134773172</v>
      </c>
    </row>
    <row r="671" customFormat="false" ht="15" hidden="false" customHeight="false" outlineLevel="0" collapsed="false">
      <c r="A671" s="6" t="s">
        <v>100</v>
      </c>
      <c r="B671" s="33" t="n">
        <v>6000</v>
      </c>
      <c r="C671" s="33" t="n">
        <v>1331870</v>
      </c>
      <c r="D671" s="9" t="n">
        <f aca="false">IF($B671=0,"",$C671/$B671)</f>
        <v>221.978333333333</v>
      </c>
      <c r="E671" s="33" t="n">
        <v>6000</v>
      </c>
      <c r="F671" s="6" t="n">
        <v>1331875</v>
      </c>
      <c r="G671" s="9" t="n">
        <f aca="false">IF($E671=0,"",$F671/$E671)</f>
        <v>221.979166666667</v>
      </c>
      <c r="H671" s="9" t="n">
        <f aca="false">IF(OR($B671=0,$E671=0),"N/A",$G671-$D671)</f>
        <v>0.000833333333332575</v>
      </c>
      <c r="I671" s="33" t="n">
        <f aca="false">$B671-$E671</f>
        <v>0</v>
      </c>
      <c r="J671" s="9" t="n">
        <f aca="false">$F671-$C671</f>
        <v>5</v>
      </c>
      <c r="K671" s="6" t="str">
        <f aca="false">IF($E671=0,"—",IF($G671&gt;=Comm_Slab2_Start,"0.0325% of sell value","0.0175 paisa per share"))</f>
        <v>0.0325% of sell value</v>
      </c>
      <c r="L671" s="9" t="n">
        <f aca="false">IF($E671=0,0,IF($G671&gt;=Comm_Slab2_Start,$F671*Comm_Slab2_Rate,$E671*Comm_Slab1_Paisa/Paisa_Per_PKR))</f>
        <v>432.859375</v>
      </c>
      <c r="M671" s="9" t="n">
        <f aca="false">$L671*SST_Rate</f>
        <v>56.27171875</v>
      </c>
      <c r="N671" s="9" t="n">
        <f aca="false">$L671+$M671</f>
        <v>489.13109375</v>
      </c>
      <c r="O671" s="9" t="n">
        <f aca="false">$J671-$N671</f>
        <v>-484.13109375</v>
      </c>
      <c r="P671" s="10" t="n">
        <f aca="false">IF($C671=0,"N/A",$O671/$C671)</f>
        <v>-0.000363497258553763</v>
      </c>
    </row>
    <row r="672" customFormat="false" ht="15" hidden="false" customHeight="false" outlineLevel="0" collapsed="false">
      <c r="A672" s="6" t="s">
        <v>75</v>
      </c>
      <c r="B672" s="33" t="n">
        <v>28561</v>
      </c>
      <c r="C672" s="33" t="n">
        <v>2697688.9</v>
      </c>
      <c r="D672" s="9" t="n">
        <f aca="false">IF($B672=0,"",$C672/$B672)</f>
        <v>94.4535870592766</v>
      </c>
      <c r="E672" s="33" t="n">
        <v>28561</v>
      </c>
      <c r="F672" s="6" t="n">
        <v>2695955.91</v>
      </c>
      <c r="G672" s="9" t="n">
        <f aca="false">IF($E672=0,"",$F672/$E672)</f>
        <v>94.3929102622457</v>
      </c>
      <c r="H672" s="9" t="n">
        <f aca="false">IF(OR($B672=0,$E672=0),"N/A",$G672-$D672)</f>
        <v>-0.0606767970309079</v>
      </c>
      <c r="I672" s="33" t="n">
        <f aca="false">$B672-$E672</f>
        <v>0</v>
      </c>
      <c r="J672" s="9" t="n">
        <f aca="false">$F672-$C672</f>
        <v>-1732.98999999976</v>
      </c>
      <c r="K672" s="6" t="str">
        <f aca="false">IF($E672=0,"—",IF($G672&gt;=Comm_Slab2_Start,"0.0325% of sell value","0.0175 paisa per share"))</f>
        <v>0.0325% of sell value</v>
      </c>
      <c r="L672" s="9" t="n">
        <f aca="false">IF($E672=0,0,IF($G672&gt;=Comm_Slab2_Start,$F672*Comm_Slab2_Rate,$E672*Comm_Slab1_Paisa/Paisa_Per_PKR))</f>
        <v>876.18567075</v>
      </c>
      <c r="M672" s="9" t="n">
        <f aca="false">$L672*SST_Rate</f>
        <v>113.9041371975</v>
      </c>
      <c r="N672" s="9" t="n">
        <f aca="false">$L672+$M672</f>
        <v>990.0898079475</v>
      </c>
      <c r="O672" s="9" t="n">
        <f aca="false">$J672-$N672</f>
        <v>-2723.07980794726</v>
      </c>
      <c r="P672" s="10" t="n">
        <f aca="false">IF($C672=0,"N/A",$O672/$C672)</f>
        <v>-0.00100941209638638</v>
      </c>
    </row>
    <row r="673" customFormat="false" ht="15" hidden="false" customHeight="false" outlineLevel="0" collapsed="false">
      <c r="A673" s="6" t="s">
        <v>79</v>
      </c>
      <c r="B673" s="33" t="n">
        <v>53500</v>
      </c>
      <c r="C673" s="33" t="n">
        <v>5114510</v>
      </c>
      <c r="D673" s="9" t="n">
        <f aca="false">IF($B673=0,"",$C673/$B673)</f>
        <v>95.5983177570093</v>
      </c>
      <c r="E673" s="33" t="n">
        <v>53500</v>
      </c>
      <c r="F673" s="6" t="n">
        <v>5122165</v>
      </c>
      <c r="G673" s="9" t="n">
        <f aca="false">IF($E673=0,"",$F673/$E673)</f>
        <v>95.7414018691589</v>
      </c>
      <c r="H673" s="9" t="n">
        <f aca="false">IF(OR($B673=0,$E673=0),"N/A",$G673-$D673)</f>
        <v>0.143084112149538</v>
      </c>
      <c r="I673" s="33" t="n">
        <f aca="false">$B673-$E673</f>
        <v>0</v>
      </c>
      <c r="J673" s="9" t="n">
        <f aca="false">$F673-$C673</f>
        <v>7655</v>
      </c>
      <c r="K673" s="6" t="str">
        <f aca="false">IF($E673=0,"—",IF($G673&gt;=Comm_Slab2_Start,"0.0325% of sell value","0.0175 paisa per share"))</f>
        <v>0.0325% of sell value</v>
      </c>
      <c r="L673" s="9" t="n">
        <f aca="false">IF($E673=0,0,IF($G673&gt;=Comm_Slab2_Start,$F673*Comm_Slab2_Rate,$E673*Comm_Slab1_Paisa/Paisa_Per_PKR))</f>
        <v>1664.703625</v>
      </c>
      <c r="M673" s="9" t="n">
        <f aca="false">$L673*SST_Rate</f>
        <v>216.41147125</v>
      </c>
      <c r="N673" s="9" t="n">
        <f aca="false">$L673+$M673</f>
        <v>1881.11509625</v>
      </c>
      <c r="O673" s="9" t="n">
        <f aca="false">$J673-$N673</f>
        <v>5773.88490375</v>
      </c>
      <c r="P673" s="10" t="n">
        <f aca="false">IF($C673=0,"N/A",$O673/$C673)</f>
        <v>0.00112892239994643</v>
      </c>
    </row>
    <row r="674" customFormat="false" ht="15" hidden="false" customHeight="false" outlineLevel="0" collapsed="false">
      <c r="A674" s="6" t="s">
        <v>104</v>
      </c>
      <c r="B674" s="33" t="n">
        <v>10</v>
      </c>
      <c r="C674" s="33" t="n">
        <v>3542</v>
      </c>
      <c r="D674" s="9" t="n">
        <f aca="false">IF($B674=0,"",$C674/$B674)</f>
        <v>354.2</v>
      </c>
      <c r="E674" s="33" t="n">
        <v>10</v>
      </c>
      <c r="F674" s="6" t="n">
        <v>3542</v>
      </c>
      <c r="G674" s="9" t="n">
        <f aca="false">IF($E674=0,"",$F674/$E674)</f>
        <v>354.2</v>
      </c>
      <c r="H674" s="9" t="n">
        <f aca="false">IF(OR($B674=0,$E674=0),"N/A",$G674-$D674)</f>
        <v>0</v>
      </c>
      <c r="I674" s="33" t="n">
        <f aca="false">$B674-$E674</f>
        <v>0</v>
      </c>
      <c r="J674" s="9" t="n">
        <f aca="false">$F674-$C674</f>
        <v>0</v>
      </c>
      <c r="K674" s="6" t="str">
        <f aca="false">IF($E674=0,"—",IF($G674&gt;=Comm_Slab2_Start,"0.0325% of sell value","0.0175 paisa per share"))</f>
        <v>0.0325% of sell value</v>
      </c>
      <c r="L674" s="9" t="n">
        <f aca="false">IF($E674=0,0,IF($G674&gt;=Comm_Slab2_Start,$F674*Comm_Slab2_Rate,$E674*Comm_Slab1_Paisa/Paisa_Per_PKR))</f>
        <v>1.15115</v>
      </c>
      <c r="M674" s="9" t="n">
        <f aca="false">$L674*SST_Rate</f>
        <v>0.1496495</v>
      </c>
      <c r="N674" s="9" t="n">
        <f aca="false">$L674+$M674</f>
        <v>1.3007995</v>
      </c>
      <c r="O674" s="9" t="n">
        <f aca="false">$J674-$N674</f>
        <v>-1.3007995</v>
      </c>
      <c r="P674" s="10" t="n">
        <f aca="false">IF($C674=0,"N/A",$O674/$C674)</f>
        <v>-0.00036725</v>
      </c>
    </row>
    <row r="675" customFormat="false" ht="15" hidden="false" customHeight="false" outlineLevel="0" collapsed="false">
      <c r="A675" s="6" t="s">
        <v>84</v>
      </c>
      <c r="B675" s="33" t="n">
        <v>5500</v>
      </c>
      <c r="C675" s="33" t="n">
        <v>1978470</v>
      </c>
      <c r="D675" s="9" t="n">
        <f aca="false">IF($B675=0,"",$C675/$B675)</f>
        <v>359.721818181818</v>
      </c>
      <c r="E675" s="33" t="n">
        <v>5500</v>
      </c>
      <c r="F675" s="6" t="n">
        <v>1978680</v>
      </c>
      <c r="G675" s="9" t="n">
        <f aca="false">IF($E675=0,"",$F675/$E675)</f>
        <v>359.76</v>
      </c>
      <c r="H675" s="9" t="n">
        <f aca="false">IF(OR($B675=0,$E675=0),"N/A",$G675-$D675)</f>
        <v>0.0381818181817835</v>
      </c>
      <c r="I675" s="33" t="n">
        <f aca="false">$B675-$E675</f>
        <v>0</v>
      </c>
      <c r="J675" s="9" t="n">
        <f aca="false">$F675-$C675</f>
        <v>210</v>
      </c>
      <c r="K675" s="6" t="str">
        <f aca="false">IF($E675=0,"—",IF($G675&gt;=Comm_Slab2_Start,"0.0325% of sell value","0.0175 paisa per share"))</f>
        <v>0.0325% of sell value</v>
      </c>
      <c r="L675" s="9" t="n">
        <f aca="false">IF($E675=0,0,IF($G675&gt;=Comm_Slab2_Start,$F675*Comm_Slab2_Rate,$E675*Comm_Slab1_Paisa/Paisa_Per_PKR))</f>
        <v>643.071</v>
      </c>
      <c r="M675" s="9" t="n">
        <f aca="false">$L675*SST_Rate</f>
        <v>83.59923</v>
      </c>
      <c r="N675" s="9" t="n">
        <f aca="false">$L675+$M675</f>
        <v>726.67023</v>
      </c>
      <c r="O675" s="9" t="n">
        <f aca="false">$J675-$N675</f>
        <v>-516.67023</v>
      </c>
      <c r="P675" s="10" t="n">
        <f aca="false">IF($C675=0,"N/A",$O675/$C675)</f>
        <v>-0.000261146355517142</v>
      </c>
    </row>
    <row r="676" customFormat="false" ht="15" hidden="false" customHeight="false" outlineLevel="0" collapsed="false">
      <c r="A676" s="6" t="s">
        <v>82</v>
      </c>
      <c r="B676" s="33" t="n">
        <v>10000</v>
      </c>
      <c r="C676" s="33" t="n">
        <v>615000</v>
      </c>
      <c r="D676" s="9" t="n">
        <f aca="false">IF($B676=0,"",$C676/$B676)</f>
        <v>61.5</v>
      </c>
      <c r="E676" s="33" t="n">
        <v>10000</v>
      </c>
      <c r="F676" s="6" t="n">
        <v>618000</v>
      </c>
      <c r="G676" s="9" t="n">
        <f aca="false">IF($E676=0,"",$F676/$E676)</f>
        <v>61.8</v>
      </c>
      <c r="H676" s="9" t="n">
        <f aca="false">IF(OR($B676=0,$E676=0),"N/A",$G676-$D676)</f>
        <v>0.299999999999997</v>
      </c>
      <c r="I676" s="33" t="n">
        <f aca="false">$B676-$E676</f>
        <v>0</v>
      </c>
      <c r="J676" s="9" t="n">
        <f aca="false">$F676-$C676</f>
        <v>3000</v>
      </c>
      <c r="K676" s="6" t="str">
        <f aca="false">IF($E676=0,"—",IF($G676&gt;=Comm_Slab2_Start,"0.0325% of sell value","0.0175 paisa per share"))</f>
        <v>0.0325% of sell value</v>
      </c>
      <c r="L676" s="9" t="n">
        <f aca="false">IF($E676=0,0,IF($G676&gt;=Comm_Slab2_Start,$F676*Comm_Slab2_Rate,$E676*Comm_Slab1_Paisa/Paisa_Per_PKR))</f>
        <v>200.85</v>
      </c>
      <c r="M676" s="9" t="n">
        <f aca="false">$L676*SST_Rate</f>
        <v>26.1105</v>
      </c>
      <c r="N676" s="9" t="n">
        <f aca="false">$L676+$M676</f>
        <v>226.9605</v>
      </c>
      <c r="O676" s="9" t="n">
        <f aca="false">$J676-$N676</f>
        <v>2773.0395</v>
      </c>
      <c r="P676" s="10" t="n">
        <f aca="false">IF($C676=0,"N/A",$O676/$C676)</f>
        <v>0.00450900731707317</v>
      </c>
    </row>
    <row r="677" customFormat="false" ht="15" hidden="false" customHeight="false" outlineLevel="0" collapsed="false">
      <c r="A677" s="6" t="s">
        <v>118</v>
      </c>
      <c r="B677" s="33" t="n">
        <v>2500</v>
      </c>
      <c r="C677" s="33" t="n">
        <v>180000</v>
      </c>
      <c r="D677" s="9" t="n">
        <f aca="false">IF($B677=0,"",$C677/$B677)</f>
        <v>72</v>
      </c>
      <c r="E677" s="33" t="n">
        <v>2500</v>
      </c>
      <c r="F677" s="6" t="n">
        <v>179750</v>
      </c>
      <c r="G677" s="9" t="n">
        <f aca="false">IF($E677=0,"",$F677/$E677)</f>
        <v>71.9</v>
      </c>
      <c r="H677" s="9" t="n">
        <f aca="false">IF(OR($B677=0,$E677=0),"N/A",$G677-$D677)</f>
        <v>-0.0999999999999943</v>
      </c>
      <c r="I677" s="33" t="n">
        <f aca="false">$B677-$E677</f>
        <v>0</v>
      </c>
      <c r="J677" s="9" t="n">
        <f aca="false">$F677-$C677</f>
        <v>-250</v>
      </c>
      <c r="K677" s="6" t="str">
        <f aca="false">IF($E677=0,"—",IF($G677&gt;=Comm_Slab2_Start,"0.0325% of sell value","0.0175 paisa per share"))</f>
        <v>0.0325% of sell value</v>
      </c>
      <c r="L677" s="9" t="n">
        <f aca="false">IF($E677=0,0,IF($G677&gt;=Comm_Slab2_Start,$F677*Comm_Slab2_Rate,$E677*Comm_Slab1_Paisa/Paisa_Per_PKR))</f>
        <v>58.41875</v>
      </c>
      <c r="M677" s="9" t="n">
        <f aca="false">$L677*SST_Rate</f>
        <v>7.5944375</v>
      </c>
      <c r="N677" s="9" t="n">
        <f aca="false">$L677+$M677</f>
        <v>66.0131875</v>
      </c>
      <c r="O677" s="9" t="n">
        <f aca="false">$J677-$N677</f>
        <v>-316.0131875</v>
      </c>
      <c r="P677" s="10" t="n">
        <f aca="false">IF($C677=0,"N/A",$O677/$C677)</f>
        <v>-0.00175562881944444</v>
      </c>
    </row>
    <row r="678" customFormat="false" ht="15" hidden="false" customHeight="false" outlineLevel="0" collapsed="false">
      <c r="A678" s="29" t="s">
        <v>42</v>
      </c>
      <c r="B678" s="50" t="n">
        <f aca="false">SUM(B668:B677)</f>
        <v>114400</v>
      </c>
      <c r="C678" s="50" t="n">
        <f aca="false">SUM(C668:C677)</f>
        <v>15990980.2</v>
      </c>
      <c r="D678" s="51" t="n">
        <f aca="false">IF($B678=0,"",$C678/$B678)</f>
        <v>139.781295454545</v>
      </c>
      <c r="E678" s="50" t="n">
        <f aca="false">SUM(E668:E677)</f>
        <v>114400</v>
      </c>
      <c r="F678" s="29" t="n">
        <f aca="false">SUM(F668:F677)</f>
        <v>16004711.04</v>
      </c>
      <c r="G678" s="51" t="n">
        <f aca="false">IF($E678=0,"",$F678/$E678)</f>
        <v>139.90132027972</v>
      </c>
      <c r="H678" s="51" t="n">
        <f aca="false">IF(OR($B678=0,$E678=0),"N/A",$G678-$D678)</f>
        <v>0.120024825174823</v>
      </c>
      <c r="I678" s="50" t="n">
        <f aca="false">$B678-$E678</f>
        <v>0</v>
      </c>
      <c r="J678" s="51" t="n">
        <f aca="false">SUM(J668:J677)</f>
        <v>13730.8400000001</v>
      </c>
      <c r="K678" s="29"/>
      <c r="L678" s="51" t="n">
        <f aca="false">SUM(L668:L677)</f>
        <v>5201.531088</v>
      </c>
      <c r="M678" s="51" t="n">
        <f aca="false">SUM(M668:M677)</f>
        <v>676.19904144</v>
      </c>
      <c r="N678" s="51" t="n">
        <f aca="false">$L678+$M678</f>
        <v>5877.73012944</v>
      </c>
      <c r="O678" s="51" t="n">
        <f aca="false">SUM(O668:O677)</f>
        <v>7853.10987056008</v>
      </c>
      <c r="P678" s="52" t="n">
        <f aca="false">IF($C678=0,"N/A",$O678/$C678)</f>
        <v>0.000491096216263221</v>
      </c>
    </row>
    <row r="681" customFormat="false" ht="19.7" hidden="false" customHeight="false" outlineLevel="0" collapsed="false">
      <c r="A681" s="1" t="s">
        <v>209</v>
      </c>
    </row>
    <row r="682" customFormat="false" ht="15" hidden="false" customHeight="false" outlineLevel="0" collapsed="false">
      <c r="A682" s="2" t="s">
        <v>132</v>
      </c>
      <c r="D682" s="31" t="s">
        <v>133</v>
      </c>
    </row>
    <row r="683" customFormat="false" ht="15" hidden="false" customHeight="false" outlineLevel="0" collapsed="false">
      <c r="A683" s="3" t="s">
        <v>134</v>
      </c>
      <c r="B683" s="27" t="n">
        <v>46303</v>
      </c>
      <c r="D683" s="3" t="s">
        <v>135</v>
      </c>
      <c r="E683" s="47" t="n">
        <f aca="false">C700</f>
        <v>9701743.2</v>
      </c>
    </row>
    <row r="684" customFormat="false" ht="15" hidden="false" customHeight="false" outlineLevel="0" collapsed="false">
      <c r="A684" s="3" t="s">
        <v>136</v>
      </c>
      <c r="B684" s="28" t="s">
        <v>137</v>
      </c>
      <c r="D684" s="3" t="s">
        <v>138</v>
      </c>
      <c r="E684" s="47" t="n">
        <f aca="false">F700</f>
        <v>9715115.39</v>
      </c>
    </row>
    <row r="685" customFormat="false" ht="15" hidden="false" customHeight="false" outlineLevel="0" collapsed="false">
      <c r="A685" s="3" t="s">
        <v>139</v>
      </c>
      <c r="B685" s="28" t="s">
        <v>151</v>
      </c>
      <c r="D685" s="3" t="s">
        <v>11</v>
      </c>
      <c r="E685" s="47" t="n">
        <f aca="false">J700</f>
        <v>13372.19</v>
      </c>
    </row>
    <row r="686" customFormat="false" ht="15" hidden="false" customHeight="false" outlineLevel="0" collapsed="false">
      <c r="A686" s="3" t="s">
        <v>141</v>
      </c>
      <c r="B686" s="28" t="s">
        <v>142</v>
      </c>
      <c r="D686" s="3" t="s">
        <v>13</v>
      </c>
      <c r="E686" s="47" t="n">
        <f aca="false">L700</f>
        <v>3157.41250175</v>
      </c>
    </row>
    <row r="687" customFormat="false" ht="15" hidden="false" customHeight="false" outlineLevel="0" collapsed="false">
      <c r="A687" s="3" t="s">
        <v>143</v>
      </c>
      <c r="B687" s="28" t="s">
        <v>144</v>
      </c>
      <c r="D687" s="3" t="s">
        <v>15</v>
      </c>
      <c r="E687" s="47" t="n">
        <f aca="false">M700</f>
        <v>410.4636252275</v>
      </c>
    </row>
    <row r="688" customFormat="false" ht="15" hidden="false" customHeight="false" outlineLevel="0" collapsed="false">
      <c r="A688" s="3" t="s">
        <v>145</v>
      </c>
      <c r="B688" s="28" t="s">
        <v>210</v>
      </c>
      <c r="D688" s="3" t="s">
        <v>147</v>
      </c>
      <c r="E688" s="47" t="n">
        <f aca="false">N700</f>
        <v>3567.8761269775</v>
      </c>
    </row>
    <row r="689" customFormat="false" ht="15" hidden="false" customHeight="false" outlineLevel="0" collapsed="false">
      <c r="D689" s="3" t="s">
        <v>16</v>
      </c>
      <c r="E689" s="47" t="n">
        <f aca="false">O700</f>
        <v>9804.3138730225</v>
      </c>
    </row>
    <row r="690" customFormat="false" ht="15" hidden="false" customHeight="false" outlineLevel="0" collapsed="false">
      <c r="D690" s="3" t="s">
        <v>8</v>
      </c>
      <c r="E690" s="48" t="n">
        <f aca="false">P700</f>
        <v>0.0010105723962084</v>
      </c>
    </row>
    <row r="691" customFormat="false" ht="15" hidden="false" customHeight="false" outlineLevel="0" collapsed="false">
      <c r="D691" s="3" t="s">
        <v>148</v>
      </c>
      <c r="E691" s="49" t="n">
        <f aca="false">I700</f>
        <v>0</v>
      </c>
    </row>
    <row r="692" customFormat="false" ht="15" hidden="false" customHeight="false" outlineLevel="0" collapsed="false">
      <c r="A692" s="31" t="s">
        <v>149</v>
      </c>
    </row>
    <row r="693" customFormat="false" ht="30" hidden="false" customHeight="true" outlineLevel="0" collapsed="false">
      <c r="A693" s="18" t="s">
        <v>71</v>
      </c>
      <c r="B693" s="18" t="s">
        <v>33</v>
      </c>
      <c r="C693" s="18" t="s">
        <v>36</v>
      </c>
      <c r="D693" s="18" t="s">
        <v>60</v>
      </c>
      <c r="E693" s="18" t="s">
        <v>34</v>
      </c>
      <c r="F693" s="18" t="s">
        <v>37</v>
      </c>
      <c r="G693" s="18" t="s">
        <v>61</v>
      </c>
      <c r="H693" s="18" t="s">
        <v>62</v>
      </c>
      <c r="I693" s="18" t="s">
        <v>35</v>
      </c>
      <c r="J693" s="18" t="s">
        <v>38</v>
      </c>
      <c r="K693" s="18" t="s">
        <v>63</v>
      </c>
      <c r="L693" s="18" t="s">
        <v>39</v>
      </c>
      <c r="M693" s="18" t="s">
        <v>64</v>
      </c>
      <c r="N693" s="18" t="s">
        <v>41</v>
      </c>
      <c r="O693" s="18" t="s">
        <v>7</v>
      </c>
      <c r="P693" s="18" t="s">
        <v>8</v>
      </c>
    </row>
    <row r="694" customFormat="false" ht="15" hidden="false" customHeight="false" outlineLevel="0" collapsed="false">
      <c r="A694" s="6" t="s">
        <v>81</v>
      </c>
      <c r="B694" s="33" t="n">
        <v>10000</v>
      </c>
      <c r="C694" s="33" t="n">
        <v>539000</v>
      </c>
      <c r="D694" s="9" t="n">
        <f aca="false">IF($B694=0,"",$C694/$B694)</f>
        <v>53.9</v>
      </c>
      <c r="E694" s="33" t="n">
        <v>10000</v>
      </c>
      <c r="F694" s="6" t="n">
        <v>542000</v>
      </c>
      <c r="G694" s="9" t="n">
        <f aca="false">IF($E694=0,"",$F694/$E694)</f>
        <v>54.2</v>
      </c>
      <c r="H694" s="9" t="n">
        <f aca="false">IF(OR($B694=0,$E694=0),"N/A",$G694-$D694)</f>
        <v>0.300000000000004</v>
      </c>
      <c r="I694" s="33" t="n">
        <f aca="false">$B694-$E694</f>
        <v>0</v>
      </c>
      <c r="J694" s="9" t="n">
        <f aca="false">$F694-$C694</f>
        <v>3000</v>
      </c>
      <c r="K694" s="6" t="str">
        <f aca="false">IF($E694=0,"—",IF($G694&gt;=Comm_Slab2_Start,"0.0325% of sell value","0.0175 paisa per share"))</f>
        <v>0.0325% of sell value</v>
      </c>
      <c r="L694" s="9" t="n">
        <f aca="false">IF($E694=0,0,IF($G694&gt;=Comm_Slab2_Start,$F694*Comm_Slab2_Rate,$E694*Comm_Slab1_Paisa/Paisa_Per_PKR))</f>
        <v>176.15</v>
      </c>
      <c r="M694" s="9" t="n">
        <f aca="false">$L694*SST_Rate</f>
        <v>22.8995</v>
      </c>
      <c r="N694" s="9" t="n">
        <f aca="false">$L694+$M694</f>
        <v>199.0495</v>
      </c>
      <c r="O694" s="9" t="n">
        <f aca="false">$J694-$N694</f>
        <v>2800.9505</v>
      </c>
      <c r="P694" s="10" t="n">
        <f aca="false">IF($C694=0,"N/A",$O694/$C694)</f>
        <v>0.00519656864564007</v>
      </c>
    </row>
    <row r="695" customFormat="false" ht="15" hidden="false" customHeight="false" outlineLevel="0" collapsed="false">
      <c r="A695" s="6" t="s">
        <v>80</v>
      </c>
      <c r="B695" s="33" t="n">
        <v>5000</v>
      </c>
      <c r="C695" s="33" t="n">
        <v>3206860</v>
      </c>
      <c r="D695" s="9" t="n">
        <f aca="false">IF($B695=0,"",$C695/$B695)</f>
        <v>641.372</v>
      </c>
      <c r="E695" s="33" t="n">
        <v>5000</v>
      </c>
      <c r="F695" s="6" t="n">
        <v>3211530</v>
      </c>
      <c r="G695" s="9" t="n">
        <f aca="false">IF($E695=0,"",$F695/$E695)</f>
        <v>642.306</v>
      </c>
      <c r="H695" s="9" t="n">
        <f aca="false">IF(OR($B695=0,$E695=0),"N/A",$G695-$D695)</f>
        <v>0.934000000000083</v>
      </c>
      <c r="I695" s="33" t="n">
        <f aca="false">$B695-$E695</f>
        <v>0</v>
      </c>
      <c r="J695" s="9" t="n">
        <f aca="false">$F695-$C695</f>
        <v>4670</v>
      </c>
      <c r="K695" s="6" t="str">
        <f aca="false">IF($E695=0,"—",IF($G695&gt;=Comm_Slab2_Start,"0.0325% of sell value","0.0175 paisa per share"))</f>
        <v>0.0325% of sell value</v>
      </c>
      <c r="L695" s="9" t="n">
        <f aca="false">IF($E695=0,0,IF($G695&gt;=Comm_Slab2_Start,$F695*Comm_Slab2_Rate,$E695*Comm_Slab1_Paisa/Paisa_Per_PKR))</f>
        <v>1043.74725</v>
      </c>
      <c r="M695" s="9" t="n">
        <f aca="false">$L695*SST_Rate</f>
        <v>135.6871425</v>
      </c>
      <c r="N695" s="9" t="n">
        <f aca="false">$L695+$M695</f>
        <v>1179.4343925</v>
      </c>
      <c r="O695" s="9" t="n">
        <f aca="false">$J695-$N695</f>
        <v>3490.5656075</v>
      </c>
      <c r="P695" s="10" t="n">
        <f aca="false">IF($C695=0,"N/A",$O695/$C695)</f>
        <v>0.00108846834832203</v>
      </c>
    </row>
    <row r="696" customFormat="false" ht="15" hidden="false" customHeight="false" outlineLevel="0" collapsed="false">
      <c r="A696" s="6" t="s">
        <v>100</v>
      </c>
      <c r="B696" s="33" t="n">
        <v>2000</v>
      </c>
      <c r="C696" s="33" t="n">
        <v>439050</v>
      </c>
      <c r="D696" s="9" t="n">
        <f aca="false">IF($B696=0,"",$C696/$B696)</f>
        <v>219.525</v>
      </c>
      <c r="E696" s="33" t="n">
        <v>2000</v>
      </c>
      <c r="F696" s="6" t="n">
        <v>439200</v>
      </c>
      <c r="G696" s="9" t="n">
        <f aca="false">IF($E696=0,"",$F696/$E696)</f>
        <v>219.6</v>
      </c>
      <c r="H696" s="9" t="n">
        <f aca="false">IF(OR($B696=0,$E696=0),"N/A",$G696-$D696)</f>
        <v>0.0749999999999886</v>
      </c>
      <c r="I696" s="33" t="n">
        <f aca="false">$B696-$E696</f>
        <v>0</v>
      </c>
      <c r="J696" s="9" t="n">
        <f aca="false">$F696-$C696</f>
        <v>150</v>
      </c>
      <c r="K696" s="6" t="str">
        <f aca="false">IF($E696=0,"—",IF($G696&gt;=Comm_Slab2_Start,"0.0325% of sell value","0.0175 paisa per share"))</f>
        <v>0.0325% of sell value</v>
      </c>
      <c r="L696" s="9" t="n">
        <f aca="false">IF($E696=0,0,IF($G696&gt;=Comm_Slab2_Start,$F696*Comm_Slab2_Rate,$E696*Comm_Slab1_Paisa/Paisa_Per_PKR))</f>
        <v>142.74</v>
      </c>
      <c r="M696" s="9" t="n">
        <f aca="false">$L696*SST_Rate</f>
        <v>18.5562</v>
      </c>
      <c r="N696" s="9" t="n">
        <f aca="false">$L696+$M696</f>
        <v>161.2962</v>
      </c>
      <c r="O696" s="9" t="n">
        <f aca="false">$J696-$N696</f>
        <v>-11.2962</v>
      </c>
      <c r="P696" s="10" t="n">
        <f aca="false">IF($C696=0,"N/A",$O696/$C696)</f>
        <v>-2.57287324906046E-005</v>
      </c>
    </row>
    <row r="697" customFormat="false" ht="15" hidden="false" customHeight="false" outlineLevel="0" collapsed="false">
      <c r="A697" s="6" t="s">
        <v>79</v>
      </c>
      <c r="B697" s="33" t="n">
        <v>40500</v>
      </c>
      <c r="C697" s="33" t="n">
        <v>3816875</v>
      </c>
      <c r="D697" s="9" t="n">
        <f aca="false">IF($B697=0,"",$C697/$B697)</f>
        <v>94.2438271604938</v>
      </c>
      <c r="E697" s="33" t="n">
        <v>40500</v>
      </c>
      <c r="F697" s="6" t="n">
        <v>3819750</v>
      </c>
      <c r="G697" s="9" t="n">
        <f aca="false">IF($E697=0,"",$F697/$E697)</f>
        <v>94.3148148148148</v>
      </c>
      <c r="H697" s="9" t="n">
        <f aca="false">IF(OR($B697=0,$E697=0),"N/A",$G697-$D697)</f>
        <v>0.0709876543209873</v>
      </c>
      <c r="I697" s="33" t="n">
        <f aca="false">$B697-$E697</f>
        <v>0</v>
      </c>
      <c r="J697" s="9" t="n">
        <f aca="false">$F697-$C697</f>
        <v>2875</v>
      </c>
      <c r="K697" s="6" t="str">
        <f aca="false">IF($E697=0,"—",IF($G697&gt;=Comm_Slab2_Start,"0.0325% of sell value","0.0175 paisa per share"))</f>
        <v>0.0325% of sell value</v>
      </c>
      <c r="L697" s="9" t="n">
        <f aca="false">IF($E697=0,0,IF($G697&gt;=Comm_Slab2_Start,$F697*Comm_Slab2_Rate,$E697*Comm_Slab1_Paisa/Paisa_Per_PKR))</f>
        <v>1241.41875</v>
      </c>
      <c r="M697" s="9" t="n">
        <f aca="false">$L697*SST_Rate</f>
        <v>161.3844375</v>
      </c>
      <c r="N697" s="9" t="n">
        <f aca="false">$L697+$M697</f>
        <v>1402.8031875</v>
      </c>
      <c r="O697" s="9" t="n">
        <f aca="false">$J697-$N697</f>
        <v>1472.1968125</v>
      </c>
      <c r="P697" s="10" t="n">
        <f aca="false">IF($C697=0,"N/A",$O697/$C697)</f>
        <v>0.000385707368593417</v>
      </c>
    </row>
    <row r="698" customFormat="false" ht="15" hidden="false" customHeight="false" outlineLevel="0" collapsed="false">
      <c r="A698" s="6" t="s">
        <v>84</v>
      </c>
      <c r="B698" s="33" t="n">
        <v>4500</v>
      </c>
      <c r="C698" s="33" t="n">
        <v>1640000</v>
      </c>
      <c r="D698" s="9" t="n">
        <f aca="false">IF($B698=0,"",$C698/$B698)</f>
        <v>364.444444444444</v>
      </c>
      <c r="E698" s="33" t="n">
        <v>4500</v>
      </c>
      <c r="F698" s="6" t="n">
        <v>1642480</v>
      </c>
      <c r="G698" s="9" t="n">
        <f aca="false">IF($E698=0,"",$F698/$E698)</f>
        <v>364.995555555556</v>
      </c>
      <c r="H698" s="9" t="n">
        <f aca="false">IF(OR($B698=0,$E698=0),"N/A",$G698-$D698)</f>
        <v>0.551111111111084</v>
      </c>
      <c r="I698" s="33" t="n">
        <f aca="false">$B698-$E698</f>
        <v>0</v>
      </c>
      <c r="J698" s="9" t="n">
        <f aca="false">$F698-$C698</f>
        <v>2480</v>
      </c>
      <c r="K698" s="6" t="str">
        <f aca="false">IF($E698=0,"—",IF($G698&gt;=Comm_Slab2_Start,"0.0325% of sell value","0.0175 paisa per share"))</f>
        <v>0.0325% of sell value</v>
      </c>
      <c r="L698" s="9" t="n">
        <f aca="false">IF($E698=0,0,IF($G698&gt;=Comm_Slab2_Start,$F698*Comm_Slab2_Rate,$E698*Comm_Slab1_Paisa/Paisa_Per_PKR))</f>
        <v>533.806</v>
      </c>
      <c r="M698" s="9" t="n">
        <f aca="false">$L698*SST_Rate</f>
        <v>69.39478</v>
      </c>
      <c r="N698" s="9" t="n">
        <f aca="false">$L698+$M698</f>
        <v>603.20078</v>
      </c>
      <c r="O698" s="9" t="n">
        <f aca="false">$J698-$N698</f>
        <v>1876.79922</v>
      </c>
      <c r="P698" s="10" t="n">
        <f aca="false">IF($C698=0,"N/A",$O698/$C698)</f>
        <v>0.00114438976829268</v>
      </c>
    </row>
    <row r="699" customFormat="false" ht="15" hidden="false" customHeight="false" outlineLevel="0" collapsed="false">
      <c r="A699" s="6" t="s">
        <v>106</v>
      </c>
      <c r="B699" s="33" t="n">
        <v>859</v>
      </c>
      <c r="C699" s="33" t="n">
        <v>59958.2</v>
      </c>
      <c r="D699" s="9" t="n">
        <f aca="false">IF($B699=0,"",$C699/$B699)</f>
        <v>69.8</v>
      </c>
      <c r="E699" s="33" t="n">
        <v>859</v>
      </c>
      <c r="F699" s="6" t="n">
        <v>60155.39</v>
      </c>
      <c r="G699" s="9" t="n">
        <f aca="false">IF($E699=0,"",$F699/$E699)</f>
        <v>70.0295576251455</v>
      </c>
      <c r="H699" s="9" t="n">
        <f aca="false">IF(OR($B699=0,$E699=0),"N/A",$G699-$D699)</f>
        <v>0.229557625145517</v>
      </c>
      <c r="I699" s="33" t="n">
        <f aca="false">$B699-$E699</f>
        <v>0</v>
      </c>
      <c r="J699" s="9" t="n">
        <f aca="false">$F699-$C699</f>
        <v>197.190000000002</v>
      </c>
      <c r="K699" s="6" t="str">
        <f aca="false">IF($E699=0,"—",IF($G699&gt;=Comm_Slab2_Start,"0.0325% of sell value","0.0175 paisa per share"))</f>
        <v>0.0325% of sell value</v>
      </c>
      <c r="L699" s="9" t="n">
        <f aca="false">IF($E699=0,0,IF($G699&gt;=Comm_Slab2_Start,$F699*Comm_Slab2_Rate,$E699*Comm_Slab1_Paisa/Paisa_Per_PKR))</f>
        <v>19.55050175</v>
      </c>
      <c r="M699" s="9" t="n">
        <f aca="false">$L699*SST_Rate</f>
        <v>2.5415652275</v>
      </c>
      <c r="N699" s="9" t="n">
        <f aca="false">$L699+$M699</f>
        <v>22.0920669775</v>
      </c>
      <c r="O699" s="9" t="n">
        <f aca="false">$J699-$N699</f>
        <v>175.097933022502</v>
      </c>
      <c r="P699" s="10" t="n">
        <f aca="false">IF($C699=0,"N/A",$O699/$C699)</f>
        <v>0.00292033338263161</v>
      </c>
    </row>
    <row r="700" customFormat="false" ht="15" hidden="false" customHeight="false" outlineLevel="0" collapsed="false">
      <c r="A700" s="29" t="s">
        <v>42</v>
      </c>
      <c r="B700" s="50" t="n">
        <f aca="false">SUM(B694:B699)</f>
        <v>62859</v>
      </c>
      <c r="C700" s="50" t="n">
        <f aca="false">SUM(C694:C699)</f>
        <v>9701743.2</v>
      </c>
      <c r="D700" s="51" t="n">
        <f aca="false">IF($B700=0,"",$C700/$B700)</f>
        <v>154.341354459982</v>
      </c>
      <c r="E700" s="50" t="n">
        <f aca="false">SUM(E694:E699)</f>
        <v>62859</v>
      </c>
      <c r="F700" s="29" t="n">
        <f aca="false">SUM(F694:F699)</f>
        <v>9715115.39</v>
      </c>
      <c r="G700" s="51" t="n">
        <f aca="false">IF($E700=0,"",$F700/$E700)</f>
        <v>154.554087561049</v>
      </c>
      <c r="H700" s="51" t="n">
        <f aca="false">IF(OR($B700=0,$E700=0),"N/A",$G700-$D700)</f>
        <v>0.212733101067471</v>
      </c>
      <c r="I700" s="50" t="n">
        <f aca="false">$B700-$E700</f>
        <v>0</v>
      </c>
      <c r="J700" s="51" t="n">
        <f aca="false">SUM(J694:J699)</f>
        <v>13372.19</v>
      </c>
      <c r="K700" s="29"/>
      <c r="L700" s="51" t="n">
        <f aca="false">SUM(L694:L699)</f>
        <v>3157.41250175</v>
      </c>
      <c r="M700" s="51" t="n">
        <f aca="false">SUM(M694:M699)</f>
        <v>410.4636252275</v>
      </c>
      <c r="N700" s="51" t="n">
        <f aca="false">$L700+$M700</f>
        <v>3567.8761269775</v>
      </c>
      <c r="O700" s="51" t="n">
        <f aca="false">SUM(O694:O699)</f>
        <v>9804.3138730225</v>
      </c>
      <c r="P700" s="52" t="n">
        <f aca="false">IF($C700=0,"N/A",$O700/$C700)</f>
        <v>0.0010105723962084</v>
      </c>
    </row>
    <row r="703" customFormat="false" ht="19.7" hidden="false" customHeight="false" outlineLevel="0" collapsed="false">
      <c r="A703" s="1" t="s">
        <v>211</v>
      </c>
    </row>
    <row r="704" customFormat="false" ht="15" hidden="false" customHeight="false" outlineLevel="0" collapsed="false">
      <c r="A704" s="2" t="s">
        <v>132</v>
      </c>
      <c r="D704" s="31" t="s">
        <v>133</v>
      </c>
    </row>
    <row r="705" customFormat="false" ht="15" hidden="false" customHeight="false" outlineLevel="0" collapsed="false">
      <c r="A705" s="3" t="s">
        <v>134</v>
      </c>
      <c r="B705" s="27" t="n">
        <v>46304</v>
      </c>
      <c r="D705" s="3" t="s">
        <v>135</v>
      </c>
      <c r="E705" s="47" t="n">
        <f aca="false">C718</f>
        <v>3975465</v>
      </c>
    </row>
    <row r="706" customFormat="false" ht="15" hidden="false" customHeight="false" outlineLevel="0" collapsed="false">
      <c r="A706" s="3" t="s">
        <v>136</v>
      </c>
      <c r="B706" s="28" t="s">
        <v>137</v>
      </c>
      <c r="D706" s="3" t="s">
        <v>138</v>
      </c>
      <c r="E706" s="47" t="n">
        <f aca="false">F718</f>
        <v>3982225</v>
      </c>
    </row>
    <row r="707" customFormat="false" ht="15" hidden="false" customHeight="false" outlineLevel="0" collapsed="false">
      <c r="A707" s="3" t="s">
        <v>139</v>
      </c>
      <c r="B707" s="28" t="s">
        <v>140</v>
      </c>
      <c r="D707" s="3" t="s">
        <v>11</v>
      </c>
      <c r="E707" s="47" t="n">
        <f aca="false">J718</f>
        <v>6760</v>
      </c>
    </row>
    <row r="708" customFormat="false" ht="15" hidden="false" customHeight="false" outlineLevel="0" collapsed="false">
      <c r="A708" s="3" t="s">
        <v>141</v>
      </c>
      <c r="B708" s="28" t="s">
        <v>142</v>
      </c>
      <c r="D708" s="3" t="s">
        <v>13</v>
      </c>
      <c r="E708" s="47" t="n">
        <f aca="false">L718</f>
        <v>1294.223125</v>
      </c>
    </row>
    <row r="709" customFormat="false" ht="15" hidden="false" customHeight="false" outlineLevel="0" collapsed="false">
      <c r="A709" s="3" t="s">
        <v>143</v>
      </c>
      <c r="B709" s="28" t="s">
        <v>144</v>
      </c>
      <c r="D709" s="3" t="s">
        <v>15</v>
      </c>
      <c r="E709" s="47" t="n">
        <f aca="false">M718</f>
        <v>168.24900625</v>
      </c>
    </row>
    <row r="710" customFormat="false" ht="15" hidden="false" customHeight="false" outlineLevel="0" collapsed="false">
      <c r="A710" s="3" t="s">
        <v>145</v>
      </c>
      <c r="B710" s="28" t="s">
        <v>212</v>
      </c>
      <c r="D710" s="3" t="s">
        <v>147</v>
      </c>
      <c r="E710" s="47" t="n">
        <f aca="false">N718</f>
        <v>1462.47213125</v>
      </c>
    </row>
    <row r="711" customFormat="false" ht="15" hidden="false" customHeight="false" outlineLevel="0" collapsed="false">
      <c r="D711" s="3" t="s">
        <v>16</v>
      </c>
      <c r="E711" s="47" t="n">
        <f aca="false">O718</f>
        <v>5297.52786875</v>
      </c>
    </row>
    <row r="712" customFormat="false" ht="15" hidden="false" customHeight="false" outlineLevel="0" collapsed="false">
      <c r="D712" s="3" t="s">
        <v>8</v>
      </c>
      <c r="E712" s="48" t="n">
        <f aca="false">P718</f>
        <v>0.0013325555296676</v>
      </c>
    </row>
    <row r="713" customFormat="false" ht="15" hidden="false" customHeight="false" outlineLevel="0" collapsed="false">
      <c r="D713" s="3" t="s">
        <v>148</v>
      </c>
      <c r="E713" s="49" t="n">
        <f aca="false">I718</f>
        <v>0</v>
      </c>
    </row>
    <row r="714" customFormat="false" ht="15" hidden="false" customHeight="false" outlineLevel="0" collapsed="false">
      <c r="A714" s="31" t="s">
        <v>149</v>
      </c>
    </row>
    <row r="715" customFormat="false" ht="30" hidden="false" customHeight="true" outlineLevel="0" collapsed="false">
      <c r="A715" s="18" t="s">
        <v>71</v>
      </c>
      <c r="B715" s="18" t="s">
        <v>33</v>
      </c>
      <c r="C715" s="18" t="s">
        <v>36</v>
      </c>
      <c r="D715" s="18" t="s">
        <v>60</v>
      </c>
      <c r="E715" s="18" t="s">
        <v>34</v>
      </c>
      <c r="F715" s="18" t="s">
        <v>37</v>
      </c>
      <c r="G715" s="18" t="s">
        <v>61</v>
      </c>
      <c r="H715" s="18" t="s">
        <v>62</v>
      </c>
      <c r="I715" s="18" t="s">
        <v>35</v>
      </c>
      <c r="J715" s="18" t="s">
        <v>38</v>
      </c>
      <c r="K715" s="18" t="s">
        <v>63</v>
      </c>
      <c r="L715" s="18" t="s">
        <v>39</v>
      </c>
      <c r="M715" s="18" t="s">
        <v>64</v>
      </c>
      <c r="N715" s="18" t="s">
        <v>41</v>
      </c>
      <c r="O715" s="18" t="s">
        <v>7</v>
      </c>
      <c r="P715" s="18" t="s">
        <v>8</v>
      </c>
    </row>
    <row r="716" customFormat="false" ht="15" hidden="false" customHeight="false" outlineLevel="0" collapsed="false">
      <c r="A716" s="6" t="s">
        <v>80</v>
      </c>
      <c r="B716" s="33" t="n">
        <v>2500</v>
      </c>
      <c r="C716" s="33" t="n">
        <v>1587750</v>
      </c>
      <c r="D716" s="9" t="n">
        <f aca="false">IF($B716=0,"",$C716/$B716)</f>
        <v>635.1</v>
      </c>
      <c r="E716" s="33" t="n">
        <v>2500</v>
      </c>
      <c r="F716" s="6" t="n">
        <v>1589000</v>
      </c>
      <c r="G716" s="9" t="n">
        <f aca="false">IF($E716=0,"",$F716/$E716)</f>
        <v>635.6</v>
      </c>
      <c r="H716" s="9" t="n">
        <f aca="false">IF(OR($B716=0,$E716=0),"N/A",$G716-$D716)</f>
        <v>0.5</v>
      </c>
      <c r="I716" s="33" t="n">
        <f aca="false">$B716-$E716</f>
        <v>0</v>
      </c>
      <c r="J716" s="9" t="n">
        <f aca="false">$F716-$C716</f>
        <v>1250</v>
      </c>
      <c r="K716" s="6" t="str">
        <f aca="false">IF($E716=0,"—",IF($G716&gt;=Comm_Slab2_Start,"0.0325% of sell value","0.0175 paisa per share"))</f>
        <v>0.0325% of sell value</v>
      </c>
      <c r="L716" s="9" t="n">
        <f aca="false">IF($E716=0,0,IF($G716&gt;=Comm_Slab2_Start,$F716*Comm_Slab2_Rate,$E716*Comm_Slab1_Paisa/Paisa_Per_PKR))</f>
        <v>516.425</v>
      </c>
      <c r="M716" s="9" t="n">
        <f aca="false">$L716*SST_Rate</f>
        <v>67.13525</v>
      </c>
      <c r="N716" s="9" t="n">
        <f aca="false">$L716+$M716</f>
        <v>583.56025</v>
      </c>
      <c r="O716" s="9" t="n">
        <f aca="false">$J716-$N716</f>
        <v>666.43975</v>
      </c>
      <c r="P716" s="10" t="n">
        <f aca="false">IF($C716=0,"N/A",$O716/$C716)</f>
        <v>0.000419738466383247</v>
      </c>
    </row>
    <row r="717" customFormat="false" ht="15" hidden="false" customHeight="false" outlineLevel="0" collapsed="false">
      <c r="A717" s="6" t="s">
        <v>79</v>
      </c>
      <c r="B717" s="33" t="n">
        <v>25500</v>
      </c>
      <c r="C717" s="33" t="n">
        <v>2387715</v>
      </c>
      <c r="D717" s="9" t="n">
        <f aca="false">IF($B717=0,"",$C717/$B717)</f>
        <v>93.6358823529412</v>
      </c>
      <c r="E717" s="33" t="n">
        <v>25500</v>
      </c>
      <c r="F717" s="6" t="n">
        <v>2393225</v>
      </c>
      <c r="G717" s="9" t="n">
        <f aca="false">IF($E717=0,"",$F717/$E717)</f>
        <v>93.8519607843137</v>
      </c>
      <c r="H717" s="9" t="n">
        <f aca="false">IF(OR($B717=0,$E717=0),"N/A",$G717-$D717)</f>
        <v>0.216078431372551</v>
      </c>
      <c r="I717" s="33" t="n">
        <f aca="false">$B717-$E717</f>
        <v>0</v>
      </c>
      <c r="J717" s="9" t="n">
        <f aca="false">$F717-$C717</f>
        <v>5510</v>
      </c>
      <c r="K717" s="6" t="str">
        <f aca="false">IF($E717=0,"—",IF($G717&gt;=Comm_Slab2_Start,"0.0325% of sell value","0.0175 paisa per share"))</f>
        <v>0.0325% of sell value</v>
      </c>
      <c r="L717" s="9" t="n">
        <f aca="false">IF($E717=0,0,IF($G717&gt;=Comm_Slab2_Start,$F717*Comm_Slab2_Rate,$E717*Comm_Slab1_Paisa/Paisa_Per_PKR))</f>
        <v>777.798125</v>
      </c>
      <c r="M717" s="9" t="n">
        <f aca="false">$L717*SST_Rate</f>
        <v>101.11375625</v>
      </c>
      <c r="N717" s="9" t="n">
        <f aca="false">$L717+$M717</f>
        <v>878.91188125</v>
      </c>
      <c r="O717" s="9" t="n">
        <f aca="false">$J717-$N717</f>
        <v>4631.08811875</v>
      </c>
      <c r="P717" s="10" t="n">
        <f aca="false">IF($C717=0,"N/A",$O717/$C717)</f>
        <v>0.00193954811137426</v>
      </c>
    </row>
    <row r="718" customFormat="false" ht="15" hidden="false" customHeight="false" outlineLevel="0" collapsed="false">
      <c r="A718" s="29" t="s">
        <v>42</v>
      </c>
      <c r="B718" s="50" t="n">
        <f aca="false">SUM(B716:B717)</f>
        <v>28000</v>
      </c>
      <c r="C718" s="50" t="n">
        <f aca="false">SUM(C716:C717)</f>
        <v>3975465</v>
      </c>
      <c r="D718" s="51" t="n">
        <f aca="false">IF($B718=0,"",$C718/$B718)</f>
        <v>141.980892857143</v>
      </c>
      <c r="E718" s="50" t="n">
        <f aca="false">SUM(E716:E717)</f>
        <v>28000</v>
      </c>
      <c r="F718" s="29" t="n">
        <f aca="false">SUM(F716:F717)</f>
        <v>3982225</v>
      </c>
      <c r="G718" s="51" t="n">
        <f aca="false">IF($E718=0,"",$F718/$E718)</f>
        <v>142.222321428571</v>
      </c>
      <c r="H718" s="51" t="n">
        <f aca="false">IF(OR($B718=0,$E718=0),"N/A",$G718-$D718)</f>
        <v>0.241428571428571</v>
      </c>
      <c r="I718" s="50" t="n">
        <f aca="false">$B718-$E718</f>
        <v>0</v>
      </c>
      <c r="J718" s="51" t="n">
        <f aca="false">SUM(J716:J717)</f>
        <v>6760</v>
      </c>
      <c r="K718" s="29"/>
      <c r="L718" s="51" t="n">
        <f aca="false">SUM(L716:L717)</f>
        <v>1294.223125</v>
      </c>
      <c r="M718" s="51" t="n">
        <f aca="false">SUM(M716:M717)</f>
        <v>168.24900625</v>
      </c>
      <c r="N718" s="51" t="n">
        <f aca="false">$L718+$M718</f>
        <v>1462.47213125</v>
      </c>
      <c r="O718" s="51" t="n">
        <f aca="false">SUM(O716:O717)</f>
        <v>5297.52786875</v>
      </c>
      <c r="P718" s="52" t="n">
        <f aca="false">IF($C718=0,"N/A",$O718/$C718)</f>
        <v>0.0013325555296676</v>
      </c>
    </row>
    <row r="721" customFormat="false" ht="19.7" hidden="false" customHeight="false" outlineLevel="0" collapsed="false">
      <c r="A721" s="1" t="s">
        <v>213</v>
      </c>
    </row>
    <row r="722" customFormat="false" ht="15" hidden="false" customHeight="false" outlineLevel="0" collapsed="false">
      <c r="A722" s="2" t="s">
        <v>132</v>
      </c>
      <c r="D722" s="31" t="s">
        <v>133</v>
      </c>
    </row>
    <row r="723" customFormat="false" ht="15" hidden="false" customHeight="false" outlineLevel="0" collapsed="false">
      <c r="A723" s="3" t="s">
        <v>134</v>
      </c>
      <c r="B723" s="27" t="n">
        <v>46307</v>
      </c>
      <c r="D723" s="3" t="s">
        <v>135</v>
      </c>
      <c r="E723" s="47" t="n">
        <f aca="false">C741</f>
        <v>13087568</v>
      </c>
    </row>
    <row r="724" customFormat="false" ht="15" hidden="false" customHeight="false" outlineLevel="0" collapsed="false">
      <c r="A724" s="3" t="s">
        <v>136</v>
      </c>
      <c r="B724" s="28" t="s">
        <v>137</v>
      </c>
      <c r="D724" s="3" t="s">
        <v>138</v>
      </c>
      <c r="E724" s="47" t="n">
        <f aca="false">F741</f>
        <v>13093430</v>
      </c>
    </row>
    <row r="725" customFormat="false" ht="15" hidden="false" customHeight="false" outlineLevel="0" collapsed="false">
      <c r="A725" s="3" t="s">
        <v>139</v>
      </c>
      <c r="B725" s="28" t="s">
        <v>151</v>
      </c>
      <c r="D725" s="3" t="s">
        <v>11</v>
      </c>
      <c r="E725" s="47" t="n">
        <f aca="false">J741</f>
        <v>5862</v>
      </c>
    </row>
    <row r="726" customFormat="false" ht="15" hidden="false" customHeight="false" outlineLevel="0" collapsed="false">
      <c r="A726" s="3" t="s">
        <v>141</v>
      </c>
      <c r="B726" s="28" t="s">
        <v>142</v>
      </c>
      <c r="D726" s="3" t="s">
        <v>13</v>
      </c>
      <c r="E726" s="47" t="n">
        <f aca="false">L741</f>
        <v>4088.782</v>
      </c>
    </row>
    <row r="727" customFormat="false" ht="15" hidden="false" customHeight="false" outlineLevel="0" collapsed="false">
      <c r="A727" s="3" t="s">
        <v>143</v>
      </c>
      <c r="B727" s="28" t="s">
        <v>144</v>
      </c>
      <c r="D727" s="3" t="s">
        <v>15</v>
      </c>
      <c r="E727" s="47" t="n">
        <f aca="false">M741</f>
        <v>531.54166</v>
      </c>
    </row>
    <row r="728" customFormat="false" ht="15" hidden="false" customHeight="false" outlineLevel="0" collapsed="false">
      <c r="A728" s="3" t="s">
        <v>145</v>
      </c>
      <c r="B728" s="28" t="s">
        <v>214</v>
      </c>
      <c r="D728" s="3" t="s">
        <v>147</v>
      </c>
      <c r="E728" s="47" t="n">
        <f aca="false">N741</f>
        <v>4620.32366</v>
      </c>
    </row>
    <row r="729" customFormat="false" ht="15" hidden="false" customHeight="false" outlineLevel="0" collapsed="false">
      <c r="D729" s="3" t="s">
        <v>16</v>
      </c>
      <c r="E729" s="47" t="n">
        <f aca="false">O741</f>
        <v>1241.67634</v>
      </c>
    </row>
    <row r="730" customFormat="false" ht="15" hidden="false" customHeight="false" outlineLevel="0" collapsed="false">
      <c r="D730" s="3" t="s">
        <v>8</v>
      </c>
      <c r="E730" s="48" t="n">
        <f aca="false">P741</f>
        <v>9.48744900504051E-005</v>
      </c>
    </row>
    <row r="731" customFormat="false" ht="15" hidden="false" customHeight="false" outlineLevel="0" collapsed="false">
      <c r="D731" s="3" t="s">
        <v>148</v>
      </c>
      <c r="E731" s="49" t="n">
        <f aca="false">I741</f>
        <v>0</v>
      </c>
    </row>
    <row r="732" customFormat="false" ht="15" hidden="false" customHeight="false" outlineLevel="0" collapsed="false">
      <c r="A732" s="31" t="s">
        <v>149</v>
      </c>
    </row>
    <row r="733" customFormat="false" ht="30" hidden="false" customHeight="true" outlineLevel="0" collapsed="false">
      <c r="A733" s="18" t="s">
        <v>71</v>
      </c>
      <c r="B733" s="18" t="s">
        <v>33</v>
      </c>
      <c r="C733" s="18" t="s">
        <v>36</v>
      </c>
      <c r="D733" s="18" t="s">
        <v>60</v>
      </c>
      <c r="E733" s="18" t="s">
        <v>34</v>
      </c>
      <c r="F733" s="18" t="s">
        <v>37</v>
      </c>
      <c r="G733" s="18" t="s">
        <v>61</v>
      </c>
      <c r="H733" s="18" t="s">
        <v>62</v>
      </c>
      <c r="I733" s="18" t="s">
        <v>35</v>
      </c>
      <c r="J733" s="18" t="s">
        <v>38</v>
      </c>
      <c r="K733" s="18" t="s">
        <v>63</v>
      </c>
      <c r="L733" s="18" t="s">
        <v>39</v>
      </c>
      <c r="M733" s="18" t="s">
        <v>64</v>
      </c>
      <c r="N733" s="18" t="s">
        <v>41</v>
      </c>
      <c r="O733" s="18" t="s">
        <v>7</v>
      </c>
      <c r="P733" s="18" t="s">
        <v>8</v>
      </c>
    </row>
    <row r="734" customFormat="false" ht="15" hidden="false" customHeight="false" outlineLevel="0" collapsed="false">
      <c r="A734" s="6" t="s">
        <v>94</v>
      </c>
      <c r="B734" s="33" t="n">
        <v>2500</v>
      </c>
      <c r="C734" s="33" t="n">
        <v>454800</v>
      </c>
      <c r="D734" s="9" t="n">
        <f aca="false">IF($B734=0,"",$C734/$B734)</f>
        <v>181.92</v>
      </c>
      <c r="E734" s="33" t="n">
        <v>2500</v>
      </c>
      <c r="F734" s="6" t="n">
        <v>455000</v>
      </c>
      <c r="G734" s="9" t="n">
        <f aca="false">IF($E734=0,"",$F734/$E734)</f>
        <v>182</v>
      </c>
      <c r="H734" s="9" t="n">
        <f aca="false">IF(OR($B734=0,$E734=0),"N/A",$G734-$D734)</f>
        <v>0.0800000000000125</v>
      </c>
      <c r="I734" s="33" t="n">
        <f aca="false">$B734-$E734</f>
        <v>0</v>
      </c>
      <c r="J734" s="9" t="n">
        <f aca="false">$F734-$C734</f>
        <v>200</v>
      </c>
      <c r="K734" s="6" t="str">
        <f aca="false">IF($E734=0,"—",IF($G734&gt;=Comm_Slab2_Start,"0.0325% of sell value","0.0175 paisa per share"))</f>
        <v>0.0325% of sell value</v>
      </c>
      <c r="L734" s="9" t="n">
        <f aca="false">IF($E734=0,0,IF($G734&gt;=Comm_Slab2_Start,$F734*Comm_Slab2_Rate,$E734*Comm_Slab1_Paisa/Paisa_Per_PKR))</f>
        <v>147.875</v>
      </c>
      <c r="M734" s="9" t="n">
        <f aca="false">$L734*SST_Rate</f>
        <v>19.22375</v>
      </c>
      <c r="N734" s="9" t="n">
        <f aca="false">$L734+$M734</f>
        <v>167.09875</v>
      </c>
      <c r="O734" s="9" t="n">
        <f aca="false">$J734-$N734</f>
        <v>32.90125</v>
      </c>
      <c r="P734" s="10" t="n">
        <f aca="false">IF($C734=0,"N/A",$O734/$C734)</f>
        <v>7.2342238346526E-005</v>
      </c>
    </row>
    <row r="735" customFormat="false" ht="15" hidden="false" customHeight="false" outlineLevel="0" collapsed="false">
      <c r="A735" s="6" t="s">
        <v>80</v>
      </c>
      <c r="B735" s="33" t="n">
        <v>4000</v>
      </c>
      <c r="C735" s="33" t="n">
        <v>2597510</v>
      </c>
      <c r="D735" s="9" t="n">
        <f aca="false">IF($B735=0,"",$C735/$B735)</f>
        <v>649.3775</v>
      </c>
      <c r="E735" s="33" t="n">
        <v>4000</v>
      </c>
      <c r="F735" s="6" t="n">
        <v>2599905</v>
      </c>
      <c r="G735" s="9" t="n">
        <f aca="false">IF($E735=0,"",$F735/$E735)</f>
        <v>649.97625</v>
      </c>
      <c r="H735" s="9" t="n">
        <f aca="false">IF(OR($B735=0,$E735=0),"N/A",$G735-$D735)</f>
        <v>0.598749999999996</v>
      </c>
      <c r="I735" s="33" t="n">
        <f aca="false">$B735-$E735</f>
        <v>0</v>
      </c>
      <c r="J735" s="9" t="n">
        <f aca="false">$F735-$C735</f>
        <v>2395</v>
      </c>
      <c r="K735" s="6" t="str">
        <f aca="false">IF($E735=0,"—",IF($G735&gt;=Comm_Slab2_Start,"0.0325% of sell value","0.0175 paisa per share"))</f>
        <v>0.0325% of sell value</v>
      </c>
      <c r="L735" s="9" t="n">
        <f aca="false">IF($E735=0,0,IF($G735&gt;=Comm_Slab2_Start,$F735*Comm_Slab2_Rate,$E735*Comm_Slab1_Paisa/Paisa_Per_PKR))</f>
        <v>844.969125</v>
      </c>
      <c r="M735" s="9" t="n">
        <f aca="false">$L735*SST_Rate</f>
        <v>109.84598625</v>
      </c>
      <c r="N735" s="9" t="n">
        <f aca="false">$L735+$M735</f>
        <v>954.81511125</v>
      </c>
      <c r="O735" s="9" t="n">
        <f aca="false">$J735-$N735</f>
        <v>1440.18488875</v>
      </c>
      <c r="P735" s="10" t="n">
        <f aca="false">IF($C735=0,"N/A",$O735/$C735)</f>
        <v>0.000554448255733376</v>
      </c>
    </row>
    <row r="736" customFormat="false" ht="15" hidden="false" customHeight="false" outlineLevel="0" collapsed="false">
      <c r="A736" s="6" t="s">
        <v>129</v>
      </c>
      <c r="B736" s="33" t="n">
        <v>2500</v>
      </c>
      <c r="C736" s="33" t="n">
        <v>755500</v>
      </c>
      <c r="D736" s="9" t="n">
        <f aca="false">IF($B736=0,"",$C736/$B736)</f>
        <v>302.2</v>
      </c>
      <c r="E736" s="33" t="n">
        <v>2500</v>
      </c>
      <c r="F736" s="6" t="n">
        <v>756500</v>
      </c>
      <c r="G736" s="9" t="n">
        <f aca="false">IF($E736=0,"",$F736/$E736)</f>
        <v>302.6</v>
      </c>
      <c r="H736" s="9" t="n">
        <f aca="false">IF(OR($B736=0,$E736=0),"N/A",$G736-$D736)</f>
        <v>0.400000000000034</v>
      </c>
      <c r="I736" s="33" t="n">
        <f aca="false">$B736-$E736</f>
        <v>0</v>
      </c>
      <c r="J736" s="9" t="n">
        <f aca="false">$F736-$C736</f>
        <v>1000</v>
      </c>
      <c r="K736" s="6" t="str">
        <f aca="false">IF($E736=0,"—",IF($G736&gt;=Comm_Slab2_Start,"0.0325% of sell value","0.0175 paisa per share"))</f>
        <v>0.0325% of sell value</v>
      </c>
      <c r="L736" s="9" t="n">
        <f aca="false">IF($E736=0,0,IF($G736&gt;=Comm_Slab2_Start,$F736*Comm_Slab2_Rate,$E736*Comm_Slab1_Paisa/Paisa_Per_PKR))</f>
        <v>245.8625</v>
      </c>
      <c r="M736" s="9" t="n">
        <f aca="false">$L736*SST_Rate</f>
        <v>31.962125</v>
      </c>
      <c r="N736" s="9" t="n">
        <f aca="false">$L736+$M736</f>
        <v>277.824625</v>
      </c>
      <c r="O736" s="9" t="n">
        <f aca="false">$J736-$N736</f>
        <v>722.175375</v>
      </c>
      <c r="P736" s="10" t="n">
        <f aca="false">IF($C736=0,"N/A",$O736/$C736)</f>
        <v>0.000955890635340834</v>
      </c>
    </row>
    <row r="737" customFormat="false" ht="15" hidden="false" customHeight="false" outlineLevel="0" collapsed="false">
      <c r="A737" s="6" t="s">
        <v>100</v>
      </c>
      <c r="B737" s="33" t="n">
        <v>2500</v>
      </c>
      <c r="C737" s="33" t="n">
        <v>548125</v>
      </c>
      <c r="D737" s="9" t="n">
        <f aca="false">IF($B737=0,"",$C737/$B737)</f>
        <v>219.25</v>
      </c>
      <c r="E737" s="33" t="n">
        <v>2500</v>
      </c>
      <c r="F737" s="6" t="n">
        <v>547750</v>
      </c>
      <c r="G737" s="9" t="n">
        <f aca="false">IF($E737=0,"",$F737/$E737)</f>
        <v>219.1</v>
      </c>
      <c r="H737" s="9" t="n">
        <f aca="false">IF(OR($B737=0,$E737=0),"N/A",$G737-$D737)</f>
        <v>-0.150000000000006</v>
      </c>
      <c r="I737" s="33" t="n">
        <f aca="false">$B737-$E737</f>
        <v>0</v>
      </c>
      <c r="J737" s="9" t="n">
        <f aca="false">$F737-$C737</f>
        <v>-375</v>
      </c>
      <c r="K737" s="6" t="str">
        <f aca="false">IF($E737=0,"—",IF($G737&gt;=Comm_Slab2_Start,"0.0325% of sell value","0.0175 paisa per share"))</f>
        <v>0.0325% of sell value</v>
      </c>
      <c r="L737" s="9" t="n">
        <f aca="false">IF($E737=0,0,IF($G737&gt;=Comm_Slab2_Start,$F737*Comm_Slab2_Rate,$E737*Comm_Slab1_Paisa/Paisa_Per_PKR))</f>
        <v>178.01875</v>
      </c>
      <c r="M737" s="9" t="n">
        <f aca="false">$L737*SST_Rate</f>
        <v>23.1424375</v>
      </c>
      <c r="N737" s="9" t="n">
        <f aca="false">$L737+$M737</f>
        <v>201.1611875</v>
      </c>
      <c r="O737" s="9" t="n">
        <f aca="false">$J737-$N737</f>
        <v>-576.1611875</v>
      </c>
      <c r="P737" s="10" t="n">
        <f aca="false">IF($C737=0,"N/A",$O737/$C737)</f>
        <v>-0.00105114925883694</v>
      </c>
    </row>
    <row r="738" customFormat="false" ht="15" hidden="false" customHeight="false" outlineLevel="0" collapsed="false">
      <c r="A738" s="6" t="s">
        <v>75</v>
      </c>
      <c r="B738" s="33" t="n">
        <v>5000</v>
      </c>
      <c r="C738" s="33" t="n">
        <v>468738</v>
      </c>
      <c r="D738" s="9" t="n">
        <f aca="false">IF($B738=0,"",$C738/$B738)</f>
        <v>93.7476</v>
      </c>
      <c r="E738" s="33" t="n">
        <v>5000</v>
      </c>
      <c r="F738" s="6" t="n">
        <v>468750</v>
      </c>
      <c r="G738" s="9" t="n">
        <f aca="false">IF($E738=0,"",$F738/$E738)</f>
        <v>93.75</v>
      </c>
      <c r="H738" s="9" t="n">
        <f aca="false">IF(OR($B738=0,$E738=0),"N/A",$G738-$D738)</f>
        <v>0.00239999999999441</v>
      </c>
      <c r="I738" s="33" t="n">
        <f aca="false">$B738-$E738</f>
        <v>0</v>
      </c>
      <c r="J738" s="9" t="n">
        <f aca="false">$F738-$C738</f>
        <v>12</v>
      </c>
      <c r="K738" s="6" t="str">
        <f aca="false">IF($E738=0,"—",IF($G738&gt;=Comm_Slab2_Start,"0.0325% of sell value","0.0175 paisa per share"))</f>
        <v>0.0325% of sell value</v>
      </c>
      <c r="L738" s="9" t="n">
        <f aca="false">IF($E738=0,0,IF($G738&gt;=Comm_Slab2_Start,$F738*Comm_Slab2_Rate,$E738*Comm_Slab1_Paisa/Paisa_Per_PKR))</f>
        <v>152.34375</v>
      </c>
      <c r="M738" s="9" t="n">
        <f aca="false">$L738*SST_Rate</f>
        <v>19.8046875</v>
      </c>
      <c r="N738" s="9" t="n">
        <f aca="false">$L738+$M738</f>
        <v>172.1484375</v>
      </c>
      <c r="O738" s="9" t="n">
        <f aca="false">$J738-$N738</f>
        <v>-160.1484375</v>
      </c>
      <c r="P738" s="10" t="n">
        <f aca="false">IF($C738=0,"N/A",$O738/$C738)</f>
        <v>-0.000341658746463909</v>
      </c>
    </row>
    <row r="739" customFormat="false" ht="15" hidden="false" customHeight="false" outlineLevel="0" collapsed="false">
      <c r="A739" s="6" t="s">
        <v>79</v>
      </c>
      <c r="B739" s="33" t="n">
        <v>82000</v>
      </c>
      <c r="C739" s="33" t="n">
        <v>7739375</v>
      </c>
      <c r="D739" s="9" t="n">
        <f aca="false">IF($B739=0,"",$C739/$B739)</f>
        <v>94.3826219512195</v>
      </c>
      <c r="E739" s="33" t="n">
        <v>82000</v>
      </c>
      <c r="F739" s="6" t="n">
        <v>7741655</v>
      </c>
      <c r="G739" s="9" t="n">
        <f aca="false">IF($E739=0,"",$F739/$E739)</f>
        <v>94.4104268292683</v>
      </c>
      <c r="H739" s="9" t="n">
        <f aca="false">IF(OR($B739=0,$E739=0),"N/A",$G739-$D739)</f>
        <v>0.0278048780487836</v>
      </c>
      <c r="I739" s="33" t="n">
        <f aca="false">$B739-$E739</f>
        <v>0</v>
      </c>
      <c r="J739" s="9" t="n">
        <f aca="false">$F739-$C739</f>
        <v>2280</v>
      </c>
      <c r="K739" s="6" t="str">
        <f aca="false">IF($E739=0,"—",IF($G739&gt;=Comm_Slab2_Start,"0.0325% of sell value","0.0175 paisa per share"))</f>
        <v>0.0325% of sell value</v>
      </c>
      <c r="L739" s="9" t="n">
        <f aca="false">IF($E739=0,0,IF($G739&gt;=Comm_Slab2_Start,$F739*Comm_Slab2_Rate,$E739*Comm_Slab1_Paisa/Paisa_Per_PKR))</f>
        <v>2516.037875</v>
      </c>
      <c r="M739" s="9" t="n">
        <f aca="false">$L739*SST_Rate</f>
        <v>327.08492375</v>
      </c>
      <c r="N739" s="9" t="n">
        <f aca="false">$L739+$M739</f>
        <v>2843.12279875</v>
      </c>
      <c r="O739" s="9" t="n">
        <f aca="false">$J739-$N739</f>
        <v>-563.12279875</v>
      </c>
      <c r="P739" s="10" t="n">
        <f aca="false">IF($C739=0,"N/A",$O739/$C739)</f>
        <v>-7.27607589437132E-005</v>
      </c>
    </row>
    <row r="740" customFormat="false" ht="15" hidden="false" customHeight="false" outlineLevel="0" collapsed="false">
      <c r="A740" s="6" t="s">
        <v>108</v>
      </c>
      <c r="B740" s="33" t="n">
        <v>21000</v>
      </c>
      <c r="C740" s="33" t="n">
        <v>523520</v>
      </c>
      <c r="D740" s="9" t="n">
        <f aca="false">IF($B740=0,"",$C740/$B740)</f>
        <v>24.9295238095238</v>
      </c>
      <c r="E740" s="33" t="n">
        <v>21000</v>
      </c>
      <c r="F740" s="6" t="n">
        <v>523870</v>
      </c>
      <c r="G740" s="9" t="n">
        <f aca="false">IF($E740=0,"",$F740/$E740)</f>
        <v>24.9461904761905</v>
      </c>
      <c r="H740" s="9" t="n">
        <f aca="false">IF(OR($B740=0,$E740=0),"N/A",$G740-$D740)</f>
        <v>0.0166666666666657</v>
      </c>
      <c r="I740" s="33" t="n">
        <f aca="false">$B740-$E740</f>
        <v>0</v>
      </c>
      <c r="J740" s="9" t="n">
        <f aca="false">$F740-$C740</f>
        <v>350</v>
      </c>
      <c r="K740" s="6" t="str">
        <f aca="false">IF($E740=0,"—",IF($G740&gt;=Comm_Slab2_Start,"0.0325% of sell value","0.0175 paisa per share"))</f>
        <v>0.0175 paisa per share</v>
      </c>
      <c r="L740" s="9" t="n">
        <f aca="false">IF($E740=0,0,IF($G740&gt;=Comm_Slab2_Start,$F740*Comm_Slab2_Rate,$E740*Comm_Slab1_Paisa/Paisa_Per_PKR))</f>
        <v>3.675</v>
      </c>
      <c r="M740" s="9" t="n">
        <f aca="false">$L740*SST_Rate</f>
        <v>0.47775</v>
      </c>
      <c r="N740" s="9" t="n">
        <f aca="false">$L740+$M740</f>
        <v>4.15275</v>
      </c>
      <c r="O740" s="9" t="n">
        <f aca="false">$J740-$N740</f>
        <v>345.84725</v>
      </c>
      <c r="P740" s="10" t="n">
        <f aca="false">IF($C740=0,"N/A",$O740/$C740)</f>
        <v>0.000660618983037897</v>
      </c>
    </row>
    <row r="741" customFormat="false" ht="15" hidden="false" customHeight="false" outlineLevel="0" collapsed="false">
      <c r="A741" s="29" t="s">
        <v>42</v>
      </c>
      <c r="B741" s="50" t="n">
        <f aca="false">SUM(B734:B740)</f>
        <v>119500</v>
      </c>
      <c r="C741" s="50" t="n">
        <f aca="false">SUM(C734:C740)</f>
        <v>13087568</v>
      </c>
      <c r="D741" s="51" t="n">
        <f aca="false">IF($B741=0,"",$C741/$B741)</f>
        <v>109.51939748954</v>
      </c>
      <c r="E741" s="50" t="n">
        <f aca="false">SUM(E734:E740)</f>
        <v>119500</v>
      </c>
      <c r="F741" s="29" t="n">
        <f aca="false">SUM(F734:F740)</f>
        <v>13093430</v>
      </c>
      <c r="G741" s="51" t="n">
        <f aca="false">IF($E741=0,"",$F741/$E741)</f>
        <v>109.568451882845</v>
      </c>
      <c r="H741" s="51" t="n">
        <f aca="false">IF(OR($B741=0,$E741=0),"N/A",$G741-$D741)</f>
        <v>0.0490543933054255</v>
      </c>
      <c r="I741" s="50" t="n">
        <f aca="false">$B741-$E741</f>
        <v>0</v>
      </c>
      <c r="J741" s="51" t="n">
        <f aca="false">SUM(J734:J740)</f>
        <v>5862</v>
      </c>
      <c r="K741" s="29"/>
      <c r="L741" s="51" t="n">
        <f aca="false">SUM(L734:L740)</f>
        <v>4088.782</v>
      </c>
      <c r="M741" s="51" t="n">
        <f aca="false">SUM(M734:M740)</f>
        <v>531.54166</v>
      </c>
      <c r="N741" s="51" t="n">
        <f aca="false">$L741+$M741</f>
        <v>4620.32366</v>
      </c>
      <c r="O741" s="51" t="n">
        <f aca="false">SUM(O734:O740)</f>
        <v>1241.67634</v>
      </c>
      <c r="P741" s="52" t="n">
        <f aca="false">IF($C741=0,"N/A",$O741/$C741)</f>
        <v>9.48744900504051E-005</v>
      </c>
    </row>
    <row r="744" customFormat="false" ht="19.7" hidden="false" customHeight="false" outlineLevel="0" collapsed="false">
      <c r="A744" s="1" t="s">
        <v>215</v>
      </c>
    </row>
    <row r="745" customFormat="false" ht="15" hidden="false" customHeight="false" outlineLevel="0" collapsed="false">
      <c r="A745" s="2" t="s">
        <v>132</v>
      </c>
      <c r="D745" s="31" t="s">
        <v>133</v>
      </c>
    </row>
    <row r="746" customFormat="false" ht="15" hidden="false" customHeight="false" outlineLevel="0" collapsed="false">
      <c r="A746" s="3" t="s">
        <v>134</v>
      </c>
      <c r="B746" s="27" t="n">
        <v>46308</v>
      </c>
      <c r="D746" s="3" t="s">
        <v>135</v>
      </c>
      <c r="E746" s="47" t="n">
        <f aca="false">C761</f>
        <v>8618263</v>
      </c>
    </row>
    <row r="747" customFormat="false" ht="15" hidden="false" customHeight="false" outlineLevel="0" collapsed="false">
      <c r="A747" s="3" t="s">
        <v>136</v>
      </c>
      <c r="B747" s="28" t="s">
        <v>137</v>
      </c>
      <c r="D747" s="3" t="s">
        <v>138</v>
      </c>
      <c r="E747" s="47" t="n">
        <f aca="false">F761</f>
        <v>8617447</v>
      </c>
    </row>
    <row r="748" customFormat="false" ht="15" hidden="false" customHeight="false" outlineLevel="0" collapsed="false">
      <c r="A748" s="3" t="s">
        <v>139</v>
      </c>
      <c r="B748" s="28" t="s">
        <v>151</v>
      </c>
      <c r="D748" s="3" t="s">
        <v>11</v>
      </c>
      <c r="E748" s="47" t="n">
        <f aca="false">J761</f>
        <v>-816</v>
      </c>
    </row>
    <row r="749" customFormat="false" ht="15" hidden="false" customHeight="false" outlineLevel="0" collapsed="false">
      <c r="A749" s="3" t="s">
        <v>141</v>
      </c>
      <c r="B749" s="28" t="s">
        <v>142</v>
      </c>
      <c r="D749" s="3" t="s">
        <v>13</v>
      </c>
      <c r="E749" s="47" t="n">
        <f aca="false">L761</f>
        <v>2112.74715</v>
      </c>
    </row>
    <row r="750" customFormat="false" ht="15" hidden="false" customHeight="false" outlineLevel="0" collapsed="false">
      <c r="A750" s="3" t="s">
        <v>143</v>
      </c>
      <c r="B750" s="28" t="s">
        <v>144</v>
      </c>
      <c r="D750" s="3" t="s">
        <v>15</v>
      </c>
      <c r="E750" s="47" t="n">
        <f aca="false">M761</f>
        <v>274.6571295</v>
      </c>
    </row>
    <row r="751" customFormat="false" ht="15" hidden="false" customHeight="false" outlineLevel="0" collapsed="false">
      <c r="A751" s="3" t="s">
        <v>145</v>
      </c>
      <c r="B751" s="28" t="s">
        <v>216</v>
      </c>
      <c r="D751" s="3" t="s">
        <v>147</v>
      </c>
      <c r="E751" s="47" t="n">
        <f aca="false">N761</f>
        <v>2387.4042795</v>
      </c>
    </row>
    <row r="752" customFormat="false" ht="15" hidden="false" customHeight="false" outlineLevel="0" collapsed="false">
      <c r="D752" s="3" t="s">
        <v>16</v>
      </c>
      <c r="E752" s="47" t="n">
        <f aca="false">O761</f>
        <v>-3203.4042795</v>
      </c>
    </row>
    <row r="753" customFormat="false" ht="15" hidden="false" customHeight="false" outlineLevel="0" collapsed="false">
      <c r="D753" s="3" t="s">
        <v>8</v>
      </c>
      <c r="E753" s="48" t="n">
        <f aca="false">P761</f>
        <v>-0.000371699526865216</v>
      </c>
    </row>
    <row r="754" customFormat="false" ht="15" hidden="false" customHeight="false" outlineLevel="0" collapsed="false">
      <c r="D754" s="3" t="s">
        <v>148</v>
      </c>
      <c r="E754" s="49" t="n">
        <f aca="false">I761</f>
        <v>0</v>
      </c>
    </row>
    <row r="755" customFormat="false" ht="15" hidden="false" customHeight="false" outlineLevel="0" collapsed="false">
      <c r="A755" s="31" t="s">
        <v>149</v>
      </c>
    </row>
    <row r="756" customFormat="false" ht="30" hidden="false" customHeight="true" outlineLevel="0" collapsed="false">
      <c r="A756" s="18" t="s">
        <v>71</v>
      </c>
      <c r="B756" s="18" t="s">
        <v>33</v>
      </c>
      <c r="C756" s="18" t="s">
        <v>36</v>
      </c>
      <c r="D756" s="18" t="s">
        <v>60</v>
      </c>
      <c r="E756" s="18" t="s">
        <v>34</v>
      </c>
      <c r="F756" s="18" t="s">
        <v>37</v>
      </c>
      <c r="G756" s="18" t="s">
        <v>61</v>
      </c>
      <c r="H756" s="18" t="s">
        <v>62</v>
      </c>
      <c r="I756" s="18" t="s">
        <v>35</v>
      </c>
      <c r="J756" s="18" t="s">
        <v>38</v>
      </c>
      <c r="K756" s="18" t="s">
        <v>63</v>
      </c>
      <c r="L756" s="18" t="s">
        <v>39</v>
      </c>
      <c r="M756" s="18" t="s">
        <v>64</v>
      </c>
      <c r="N756" s="18" t="s">
        <v>41</v>
      </c>
      <c r="O756" s="18" t="s">
        <v>7</v>
      </c>
      <c r="P756" s="18" t="s">
        <v>8</v>
      </c>
    </row>
    <row r="757" customFormat="false" ht="15" hidden="false" customHeight="false" outlineLevel="0" collapsed="false">
      <c r="A757" s="6" t="s">
        <v>75</v>
      </c>
      <c r="B757" s="33" t="n">
        <v>9000</v>
      </c>
      <c r="C757" s="33" t="n">
        <v>841548</v>
      </c>
      <c r="D757" s="9" t="n">
        <f aca="false">IF($B757=0,"",$C757/$B757)</f>
        <v>93.5053333333333</v>
      </c>
      <c r="E757" s="33" t="n">
        <v>9000</v>
      </c>
      <c r="F757" s="6" t="n">
        <v>844297</v>
      </c>
      <c r="G757" s="9" t="n">
        <f aca="false">IF($E757=0,"",$F757/$E757)</f>
        <v>93.8107777777778</v>
      </c>
      <c r="H757" s="9" t="n">
        <f aca="false">IF(OR($B757=0,$E757=0),"N/A",$G757-$D757)</f>
        <v>0.305444444444433</v>
      </c>
      <c r="I757" s="33" t="n">
        <f aca="false">$B757-$E757</f>
        <v>0</v>
      </c>
      <c r="J757" s="9" t="n">
        <f aca="false">$F757-$C757</f>
        <v>2749</v>
      </c>
      <c r="K757" s="6" t="str">
        <f aca="false">IF($E757=0,"—",IF($G757&gt;=Comm_Slab2_Start,"0.0325% of sell value","0.0175 paisa per share"))</f>
        <v>0.0325% of sell value</v>
      </c>
      <c r="L757" s="9" t="n">
        <f aca="false">IF($E757=0,0,IF($G757&gt;=Comm_Slab2_Start,$F757*Comm_Slab2_Rate,$E757*Comm_Slab1_Paisa/Paisa_Per_PKR))</f>
        <v>274.396525</v>
      </c>
      <c r="M757" s="9" t="n">
        <f aca="false">$L757*SST_Rate</f>
        <v>35.67154825</v>
      </c>
      <c r="N757" s="9" t="n">
        <f aca="false">$L757+$M757</f>
        <v>310.06807325</v>
      </c>
      <c r="O757" s="9" t="n">
        <f aca="false">$J757-$N757</f>
        <v>2438.93192675</v>
      </c>
      <c r="P757" s="10" t="n">
        <f aca="false">IF($C757=0,"N/A",$O757/$C757)</f>
        <v>0.00289814951345616</v>
      </c>
    </row>
    <row r="758" customFormat="false" ht="15" hidden="false" customHeight="false" outlineLevel="0" collapsed="false">
      <c r="A758" s="6" t="s">
        <v>79</v>
      </c>
      <c r="B758" s="33" t="n">
        <v>57000</v>
      </c>
      <c r="C758" s="33" t="n">
        <v>5362705</v>
      </c>
      <c r="D758" s="9" t="n">
        <f aca="false">IF($B758=0,"",$C758/$B758)</f>
        <v>94.0825438596491</v>
      </c>
      <c r="E758" s="33" t="n">
        <v>57000</v>
      </c>
      <c r="F758" s="6" t="n">
        <v>5358675</v>
      </c>
      <c r="G758" s="9" t="n">
        <f aca="false">IF($E758=0,"",$F758/$E758)</f>
        <v>94.0118421052632</v>
      </c>
      <c r="H758" s="9" t="n">
        <f aca="false">IF(OR($B758=0,$E758=0),"N/A",$G758-$D758)</f>
        <v>-0.0707017543859649</v>
      </c>
      <c r="I758" s="33" t="n">
        <f aca="false">$B758-$E758</f>
        <v>0</v>
      </c>
      <c r="J758" s="9" t="n">
        <f aca="false">$F758-$C758</f>
        <v>-4030</v>
      </c>
      <c r="K758" s="6" t="str">
        <f aca="false">IF($E758=0,"—",IF($G758&gt;=Comm_Slab2_Start,"0.0325% of sell value","0.0175 paisa per share"))</f>
        <v>0.0325% of sell value</v>
      </c>
      <c r="L758" s="9" t="n">
        <f aca="false">IF($E758=0,0,IF($G758&gt;=Comm_Slab2_Start,$F758*Comm_Slab2_Rate,$E758*Comm_Slab1_Paisa/Paisa_Per_PKR))</f>
        <v>1741.569375</v>
      </c>
      <c r="M758" s="9" t="n">
        <f aca="false">$L758*SST_Rate</f>
        <v>226.40401875</v>
      </c>
      <c r="N758" s="9" t="n">
        <f aca="false">$L758+$M758</f>
        <v>1967.97339375</v>
      </c>
      <c r="O758" s="9" t="n">
        <f aca="false">$J758-$N758</f>
        <v>-5997.97339375</v>
      </c>
      <c r="P758" s="10" t="n">
        <f aca="false">IF($C758=0,"N/A",$O758/$C758)</f>
        <v>-0.00111846043997386</v>
      </c>
    </row>
    <row r="759" customFormat="false" ht="15" hidden="false" customHeight="false" outlineLevel="0" collapsed="false">
      <c r="A759" s="6" t="s">
        <v>82</v>
      </c>
      <c r="B759" s="33" t="n">
        <v>40000</v>
      </c>
      <c r="C759" s="33" t="n">
        <v>2136570</v>
      </c>
      <c r="D759" s="9" t="n">
        <f aca="false">IF($B759=0,"",$C759/$B759)</f>
        <v>53.41425</v>
      </c>
      <c r="E759" s="33" t="n">
        <v>40000</v>
      </c>
      <c r="F759" s="6" t="n">
        <v>2138225</v>
      </c>
      <c r="G759" s="9" t="n">
        <f aca="false">IF($E759=0,"",$F759/$E759)</f>
        <v>53.455625</v>
      </c>
      <c r="H759" s="9" t="n">
        <f aca="false">IF(OR($B759=0,$E759=0),"N/A",$G759-$D759)</f>
        <v>0.0413749999999951</v>
      </c>
      <c r="I759" s="33" t="n">
        <f aca="false">$B759-$E759</f>
        <v>0</v>
      </c>
      <c r="J759" s="9" t="n">
        <f aca="false">$F759-$C759</f>
        <v>1655</v>
      </c>
      <c r="K759" s="6" t="str">
        <f aca="false">IF($E759=0,"—",IF($G759&gt;=Comm_Slab2_Start,"0.0325% of sell value","0.0175 paisa per share"))</f>
        <v>0.0175 paisa per share</v>
      </c>
      <c r="L759" s="9" t="n">
        <f aca="false">IF($E759=0,0,IF($G759&gt;=Comm_Slab2_Start,$F759*Comm_Slab2_Rate,$E759*Comm_Slab1_Paisa/Paisa_Per_PKR))</f>
        <v>7</v>
      </c>
      <c r="M759" s="9" t="n">
        <f aca="false">$L759*SST_Rate</f>
        <v>0.91</v>
      </c>
      <c r="N759" s="9" t="n">
        <f aca="false">$L759+$M759</f>
        <v>7.91</v>
      </c>
      <c r="O759" s="9" t="n">
        <f aca="false">$J759-$N759</f>
        <v>1647.09</v>
      </c>
      <c r="P759" s="10" t="n">
        <f aca="false">IF($C759=0,"N/A",$O759/$C759)</f>
        <v>0.000770903831842626</v>
      </c>
    </row>
    <row r="760" customFormat="false" ht="15" hidden="false" customHeight="false" outlineLevel="0" collapsed="false">
      <c r="A760" s="6" t="s">
        <v>116</v>
      </c>
      <c r="B760" s="33" t="n">
        <v>5000</v>
      </c>
      <c r="C760" s="33" t="n">
        <v>277440</v>
      </c>
      <c r="D760" s="9" t="n">
        <f aca="false">IF($B760=0,"",$C760/$B760)</f>
        <v>55.488</v>
      </c>
      <c r="E760" s="33" t="n">
        <v>5000</v>
      </c>
      <c r="F760" s="6" t="n">
        <v>276250</v>
      </c>
      <c r="G760" s="9" t="n">
        <f aca="false">IF($E760=0,"",$F760/$E760)</f>
        <v>55.25</v>
      </c>
      <c r="H760" s="9" t="n">
        <f aca="false">IF(OR($B760=0,$E760=0),"N/A",$G760-$D760)</f>
        <v>-0.238</v>
      </c>
      <c r="I760" s="33" t="n">
        <f aca="false">$B760-$E760</f>
        <v>0</v>
      </c>
      <c r="J760" s="9" t="n">
        <f aca="false">$F760-$C760</f>
        <v>-1190</v>
      </c>
      <c r="K760" s="6" t="str">
        <f aca="false">IF($E760=0,"—",IF($G760&gt;=Comm_Slab2_Start,"0.0325% of sell value","0.0175 paisa per share"))</f>
        <v>0.0325% of sell value</v>
      </c>
      <c r="L760" s="9" t="n">
        <f aca="false">IF($E760=0,0,IF($G760&gt;=Comm_Slab2_Start,$F760*Comm_Slab2_Rate,$E760*Comm_Slab1_Paisa/Paisa_Per_PKR))</f>
        <v>89.78125</v>
      </c>
      <c r="M760" s="9" t="n">
        <f aca="false">$L760*SST_Rate</f>
        <v>11.6715625</v>
      </c>
      <c r="N760" s="9" t="n">
        <f aca="false">$L760+$M760</f>
        <v>101.4528125</v>
      </c>
      <c r="O760" s="9" t="n">
        <f aca="false">$J760-$N760</f>
        <v>-1291.4528125</v>
      </c>
      <c r="P760" s="10" t="n">
        <f aca="false">IF($C760=0,"N/A",$O760/$C760)</f>
        <v>-0.00465489047181373</v>
      </c>
    </row>
    <row r="761" customFormat="false" ht="15" hidden="false" customHeight="false" outlineLevel="0" collapsed="false">
      <c r="A761" s="29" t="s">
        <v>42</v>
      </c>
      <c r="B761" s="50" t="n">
        <f aca="false">SUM(B757:B760)</f>
        <v>111000</v>
      </c>
      <c r="C761" s="50" t="n">
        <f aca="false">SUM(C757:C760)</f>
        <v>8618263</v>
      </c>
      <c r="D761" s="51" t="n">
        <f aca="false">IF($B761=0,"",$C761/$B761)</f>
        <v>77.642009009009</v>
      </c>
      <c r="E761" s="50" t="n">
        <f aca="false">SUM(E757:E760)</f>
        <v>111000</v>
      </c>
      <c r="F761" s="29" t="n">
        <f aca="false">SUM(F757:F760)</f>
        <v>8617447</v>
      </c>
      <c r="G761" s="51" t="n">
        <f aca="false">IF($E761=0,"",$F761/$E761)</f>
        <v>77.6346576576577</v>
      </c>
      <c r="H761" s="51" t="n">
        <f aca="false">IF(OR($B761=0,$E761=0),"N/A",$G761-$D761)</f>
        <v>-0.00735135135136034</v>
      </c>
      <c r="I761" s="50" t="n">
        <f aca="false">$B761-$E761</f>
        <v>0</v>
      </c>
      <c r="J761" s="51" t="n">
        <f aca="false">SUM(J757:J760)</f>
        <v>-816</v>
      </c>
      <c r="K761" s="29"/>
      <c r="L761" s="51" t="n">
        <f aca="false">SUM(L757:L760)</f>
        <v>2112.74715</v>
      </c>
      <c r="M761" s="51" t="n">
        <f aca="false">SUM(M757:M760)</f>
        <v>274.6571295</v>
      </c>
      <c r="N761" s="51" t="n">
        <f aca="false">$L761+$M761</f>
        <v>2387.4042795</v>
      </c>
      <c r="O761" s="51" t="n">
        <f aca="false">SUM(O757:O760)</f>
        <v>-3203.4042795</v>
      </c>
      <c r="P761" s="52" t="n">
        <f aca="false">IF($C761=0,"N/A",$O761/$C761)</f>
        <v>-0.000371699526865216</v>
      </c>
    </row>
    <row r="764" customFormat="false" ht="19.7" hidden="false" customHeight="false" outlineLevel="0" collapsed="false">
      <c r="A764" s="1" t="s">
        <v>217</v>
      </c>
    </row>
    <row r="765" customFormat="false" ht="15" hidden="false" customHeight="false" outlineLevel="0" collapsed="false">
      <c r="A765" s="2" t="s">
        <v>132</v>
      </c>
      <c r="D765" s="31" t="s">
        <v>133</v>
      </c>
    </row>
    <row r="766" customFormat="false" ht="15" hidden="false" customHeight="false" outlineLevel="0" collapsed="false">
      <c r="A766" s="3" t="s">
        <v>134</v>
      </c>
      <c r="B766" s="27" t="n">
        <v>46310</v>
      </c>
      <c r="D766" s="3" t="s">
        <v>135</v>
      </c>
      <c r="E766" s="47" t="n">
        <f aca="false">C782</f>
        <v>11671305</v>
      </c>
    </row>
    <row r="767" customFormat="false" ht="15" hidden="false" customHeight="false" outlineLevel="0" collapsed="false">
      <c r="A767" s="3" t="s">
        <v>136</v>
      </c>
      <c r="B767" s="28" t="s">
        <v>137</v>
      </c>
      <c r="D767" s="3" t="s">
        <v>138</v>
      </c>
      <c r="E767" s="47" t="n">
        <f aca="false">F782</f>
        <v>11678640</v>
      </c>
    </row>
    <row r="768" customFormat="false" ht="15" hidden="false" customHeight="false" outlineLevel="0" collapsed="false">
      <c r="A768" s="3" t="s">
        <v>139</v>
      </c>
      <c r="B768" s="28" t="s">
        <v>140</v>
      </c>
      <c r="D768" s="3" t="s">
        <v>11</v>
      </c>
      <c r="E768" s="47" t="n">
        <f aca="false">J782</f>
        <v>7335</v>
      </c>
    </row>
    <row r="769" customFormat="false" ht="15" hidden="false" customHeight="false" outlineLevel="0" collapsed="false">
      <c r="A769" s="3" t="s">
        <v>141</v>
      </c>
      <c r="B769" s="28" t="s">
        <v>142</v>
      </c>
      <c r="D769" s="3" t="s">
        <v>13</v>
      </c>
      <c r="E769" s="47" t="n">
        <f aca="false">L782</f>
        <v>3795.558</v>
      </c>
    </row>
    <row r="770" customFormat="false" ht="15" hidden="false" customHeight="false" outlineLevel="0" collapsed="false">
      <c r="A770" s="3" t="s">
        <v>143</v>
      </c>
      <c r="B770" s="28" t="s">
        <v>144</v>
      </c>
      <c r="D770" s="3" t="s">
        <v>15</v>
      </c>
      <c r="E770" s="47" t="n">
        <f aca="false">M782</f>
        <v>493.42254</v>
      </c>
    </row>
    <row r="771" customFormat="false" ht="15" hidden="false" customHeight="false" outlineLevel="0" collapsed="false">
      <c r="A771" s="3" t="s">
        <v>145</v>
      </c>
      <c r="B771" s="28" t="s">
        <v>218</v>
      </c>
      <c r="D771" s="3" t="s">
        <v>147</v>
      </c>
      <c r="E771" s="47" t="n">
        <f aca="false">N782</f>
        <v>4288.98054</v>
      </c>
    </row>
    <row r="772" customFormat="false" ht="15" hidden="false" customHeight="false" outlineLevel="0" collapsed="false">
      <c r="D772" s="3" t="s">
        <v>16</v>
      </c>
      <c r="E772" s="47" t="n">
        <f aca="false">O782</f>
        <v>3046.01946</v>
      </c>
    </row>
    <row r="773" customFormat="false" ht="15" hidden="false" customHeight="false" outlineLevel="0" collapsed="false">
      <c r="D773" s="3" t="s">
        <v>8</v>
      </c>
      <c r="E773" s="48" t="n">
        <f aca="false">P782</f>
        <v>0.000260983622654022</v>
      </c>
    </row>
    <row r="774" customFormat="false" ht="15" hidden="false" customHeight="false" outlineLevel="0" collapsed="false">
      <c r="D774" s="3" t="s">
        <v>148</v>
      </c>
      <c r="E774" s="49" t="n">
        <f aca="false">I782</f>
        <v>0</v>
      </c>
    </row>
    <row r="775" customFormat="false" ht="15" hidden="false" customHeight="false" outlineLevel="0" collapsed="false">
      <c r="A775" s="31" t="s">
        <v>149</v>
      </c>
    </row>
    <row r="776" customFormat="false" ht="30" hidden="false" customHeight="true" outlineLevel="0" collapsed="false">
      <c r="A776" s="18" t="s">
        <v>71</v>
      </c>
      <c r="B776" s="18" t="s">
        <v>33</v>
      </c>
      <c r="C776" s="18" t="s">
        <v>36</v>
      </c>
      <c r="D776" s="18" t="s">
        <v>60</v>
      </c>
      <c r="E776" s="18" t="s">
        <v>34</v>
      </c>
      <c r="F776" s="18" t="s">
        <v>37</v>
      </c>
      <c r="G776" s="18" t="s">
        <v>61</v>
      </c>
      <c r="H776" s="18" t="s">
        <v>62</v>
      </c>
      <c r="I776" s="18" t="s">
        <v>35</v>
      </c>
      <c r="J776" s="18" t="s">
        <v>38</v>
      </c>
      <c r="K776" s="18" t="s">
        <v>63</v>
      </c>
      <c r="L776" s="18" t="s">
        <v>39</v>
      </c>
      <c r="M776" s="18" t="s">
        <v>64</v>
      </c>
      <c r="N776" s="18" t="s">
        <v>41</v>
      </c>
      <c r="O776" s="18" t="s">
        <v>7</v>
      </c>
      <c r="P776" s="18" t="s">
        <v>8</v>
      </c>
    </row>
    <row r="777" customFormat="false" ht="15" hidden="false" customHeight="false" outlineLevel="0" collapsed="false">
      <c r="A777" s="6" t="s">
        <v>86</v>
      </c>
      <c r="B777" s="33" t="n">
        <v>500</v>
      </c>
      <c r="C777" s="33" t="n">
        <v>608850</v>
      </c>
      <c r="D777" s="9" t="n">
        <f aca="false">IF($B777=0,"",$C777/$B777)</f>
        <v>1217.7</v>
      </c>
      <c r="E777" s="33" t="n">
        <v>500</v>
      </c>
      <c r="F777" s="6" t="n">
        <v>609000</v>
      </c>
      <c r="G777" s="9" t="n">
        <f aca="false">IF($E777=0,"",$F777/$E777)</f>
        <v>1218</v>
      </c>
      <c r="H777" s="9" t="n">
        <f aca="false">IF(OR($B777=0,$E777=0),"N/A",$G777-$D777)</f>
        <v>0.299999999999955</v>
      </c>
      <c r="I777" s="33" t="n">
        <f aca="false">$B777-$E777</f>
        <v>0</v>
      </c>
      <c r="J777" s="9" t="n">
        <f aca="false">$F777-$C777</f>
        <v>150</v>
      </c>
      <c r="K777" s="6" t="str">
        <f aca="false">IF($E777=0,"—",IF($G777&gt;=Comm_Slab2_Start,"0.0325% of sell value","0.0175 paisa per share"))</f>
        <v>0.0325% of sell value</v>
      </c>
      <c r="L777" s="9" t="n">
        <f aca="false">IF($E777=0,0,IF($G777&gt;=Comm_Slab2_Start,$F777*Comm_Slab2_Rate,$E777*Comm_Slab1_Paisa/Paisa_Per_PKR))</f>
        <v>197.925</v>
      </c>
      <c r="M777" s="9" t="n">
        <f aca="false">$L777*SST_Rate</f>
        <v>25.73025</v>
      </c>
      <c r="N777" s="9" t="n">
        <f aca="false">$L777+$M777</f>
        <v>223.65525</v>
      </c>
      <c r="O777" s="9" t="n">
        <f aca="false">$J777-$N777</f>
        <v>-73.65525</v>
      </c>
      <c r="P777" s="10" t="n">
        <f aca="false">IF($C777=0,"N/A",$O777/$C777)</f>
        <v>-0.000120974377925597</v>
      </c>
    </row>
    <row r="778" customFormat="false" ht="15" hidden="false" customHeight="false" outlineLevel="0" collapsed="false">
      <c r="A778" s="6" t="s">
        <v>111</v>
      </c>
      <c r="B778" s="33" t="n">
        <v>10000</v>
      </c>
      <c r="C778" s="33" t="n">
        <v>909360</v>
      </c>
      <c r="D778" s="9" t="n">
        <f aca="false">IF($B778=0,"",$C778/$B778)</f>
        <v>90.936</v>
      </c>
      <c r="E778" s="33" t="n">
        <v>10000</v>
      </c>
      <c r="F778" s="6" t="n">
        <v>909300</v>
      </c>
      <c r="G778" s="9" t="n">
        <f aca="false">IF($E778=0,"",$F778/$E778)</f>
        <v>90.93</v>
      </c>
      <c r="H778" s="9" t="n">
        <f aca="false">IF(OR($B778=0,$E778=0),"N/A",$G778-$D778)</f>
        <v>-0.00600000000000023</v>
      </c>
      <c r="I778" s="33" t="n">
        <f aca="false">$B778-$E778</f>
        <v>0</v>
      </c>
      <c r="J778" s="9" t="n">
        <f aca="false">$F778-$C778</f>
        <v>-60</v>
      </c>
      <c r="K778" s="6" t="str">
        <f aca="false">IF($E778=0,"—",IF($G778&gt;=Comm_Slab2_Start,"0.0325% of sell value","0.0175 paisa per share"))</f>
        <v>0.0325% of sell value</v>
      </c>
      <c r="L778" s="9" t="n">
        <f aca="false">IF($E778=0,0,IF($G778&gt;=Comm_Slab2_Start,$F778*Comm_Slab2_Rate,$E778*Comm_Slab1_Paisa/Paisa_Per_PKR))</f>
        <v>295.5225</v>
      </c>
      <c r="M778" s="9" t="n">
        <f aca="false">$L778*SST_Rate</f>
        <v>38.417925</v>
      </c>
      <c r="N778" s="9" t="n">
        <f aca="false">$L778+$M778</f>
        <v>333.940425</v>
      </c>
      <c r="O778" s="9" t="n">
        <f aca="false">$J778-$N778</f>
        <v>-393.940425</v>
      </c>
      <c r="P778" s="10" t="n">
        <f aca="false">IF($C778=0,"N/A",$O778/$C778)</f>
        <v>-0.000433206238453418</v>
      </c>
    </row>
    <row r="779" customFormat="false" ht="15" hidden="false" customHeight="false" outlineLevel="0" collapsed="false">
      <c r="A779" s="6" t="s">
        <v>80</v>
      </c>
      <c r="B779" s="33" t="n">
        <v>3000</v>
      </c>
      <c r="C779" s="33" t="n">
        <v>1981815</v>
      </c>
      <c r="D779" s="9" t="n">
        <f aca="false">IF($B779=0,"",$C779/$B779)</f>
        <v>660.605</v>
      </c>
      <c r="E779" s="33" t="n">
        <v>3000</v>
      </c>
      <c r="F779" s="6" t="n">
        <v>1980820</v>
      </c>
      <c r="G779" s="9" t="n">
        <f aca="false">IF($E779=0,"",$F779/$E779)</f>
        <v>660.273333333333</v>
      </c>
      <c r="H779" s="9" t="n">
        <f aca="false">IF(OR($B779=0,$E779=0),"N/A",$G779-$D779)</f>
        <v>-0.331666666666706</v>
      </c>
      <c r="I779" s="33" t="n">
        <f aca="false">$B779-$E779</f>
        <v>0</v>
      </c>
      <c r="J779" s="9" t="n">
        <f aca="false">$F779-$C779</f>
        <v>-995</v>
      </c>
      <c r="K779" s="6" t="str">
        <f aca="false">IF($E779=0,"—",IF($G779&gt;=Comm_Slab2_Start,"0.0325% of sell value","0.0175 paisa per share"))</f>
        <v>0.0325% of sell value</v>
      </c>
      <c r="L779" s="9" t="n">
        <f aca="false">IF($E779=0,0,IF($G779&gt;=Comm_Slab2_Start,$F779*Comm_Slab2_Rate,$E779*Comm_Slab1_Paisa/Paisa_Per_PKR))</f>
        <v>643.7665</v>
      </c>
      <c r="M779" s="9" t="n">
        <f aca="false">$L779*SST_Rate</f>
        <v>83.689645</v>
      </c>
      <c r="N779" s="9" t="n">
        <f aca="false">$L779+$M779</f>
        <v>727.456145</v>
      </c>
      <c r="O779" s="9" t="n">
        <f aca="false">$J779-$N779</f>
        <v>-1722.456145</v>
      </c>
      <c r="P779" s="10" t="n">
        <f aca="false">IF($C779=0,"N/A",$O779/$C779)</f>
        <v>-0.000869130642870298</v>
      </c>
    </row>
    <row r="780" customFormat="false" ht="15" hidden="false" customHeight="false" outlineLevel="0" collapsed="false">
      <c r="A780" s="6" t="s">
        <v>79</v>
      </c>
      <c r="B780" s="33" t="n">
        <v>50500</v>
      </c>
      <c r="C780" s="33" t="n">
        <v>5139855</v>
      </c>
      <c r="D780" s="9" t="n">
        <f aca="false">IF($B780=0,"",$C780/$B780)</f>
        <v>101.779306930693</v>
      </c>
      <c r="E780" s="33" t="n">
        <v>50500</v>
      </c>
      <c r="F780" s="6" t="n">
        <v>5146275</v>
      </c>
      <c r="G780" s="9" t="n">
        <f aca="false">IF($E780=0,"",$F780/$E780)</f>
        <v>101.906435643564</v>
      </c>
      <c r="H780" s="9" t="n">
        <f aca="false">IF(OR($B780=0,$E780=0),"N/A",$G780-$D780)</f>
        <v>0.127128712871283</v>
      </c>
      <c r="I780" s="33" t="n">
        <f aca="false">$B780-$E780</f>
        <v>0</v>
      </c>
      <c r="J780" s="9" t="n">
        <f aca="false">$F780-$C780</f>
        <v>6420</v>
      </c>
      <c r="K780" s="6" t="str">
        <f aca="false">IF($E780=0,"—",IF($G780&gt;=Comm_Slab2_Start,"0.0325% of sell value","0.0175 paisa per share"))</f>
        <v>0.0325% of sell value</v>
      </c>
      <c r="L780" s="9" t="n">
        <f aca="false">IF($E780=0,0,IF($G780&gt;=Comm_Slab2_Start,$F780*Comm_Slab2_Rate,$E780*Comm_Slab1_Paisa/Paisa_Per_PKR))</f>
        <v>1672.539375</v>
      </c>
      <c r="M780" s="9" t="n">
        <f aca="false">$L780*SST_Rate</f>
        <v>217.43011875</v>
      </c>
      <c r="N780" s="9" t="n">
        <f aca="false">$L780+$M780</f>
        <v>1889.96949375</v>
      </c>
      <c r="O780" s="9" t="n">
        <f aca="false">$J780-$N780</f>
        <v>4530.03050625</v>
      </c>
      <c r="P780" s="10" t="n">
        <f aca="false">IF($C780=0,"N/A",$O780/$C780)</f>
        <v>0.000881353755358858</v>
      </c>
    </row>
    <row r="781" customFormat="false" ht="15" hidden="false" customHeight="false" outlineLevel="0" collapsed="false">
      <c r="A781" s="6" t="s">
        <v>101</v>
      </c>
      <c r="B781" s="33" t="n">
        <v>8500</v>
      </c>
      <c r="C781" s="33" t="n">
        <v>3031425</v>
      </c>
      <c r="D781" s="9" t="n">
        <f aca="false">IF($B781=0,"",$C781/$B781)</f>
        <v>356.638235294118</v>
      </c>
      <c r="E781" s="33" t="n">
        <v>8500</v>
      </c>
      <c r="F781" s="6" t="n">
        <v>3033245</v>
      </c>
      <c r="G781" s="9" t="n">
        <f aca="false">IF($E781=0,"",$F781/$E781)</f>
        <v>356.852352941177</v>
      </c>
      <c r="H781" s="9" t="n">
        <f aca="false">IF(OR($B781=0,$E781=0),"N/A",$G781-$D781)</f>
        <v>0.214117647058856</v>
      </c>
      <c r="I781" s="33" t="n">
        <f aca="false">$B781-$E781</f>
        <v>0</v>
      </c>
      <c r="J781" s="9" t="n">
        <f aca="false">$F781-$C781</f>
        <v>1820</v>
      </c>
      <c r="K781" s="6" t="str">
        <f aca="false">IF($E781=0,"—",IF($G781&gt;=Comm_Slab2_Start,"0.0325% of sell value","0.0175 paisa per share"))</f>
        <v>0.0325% of sell value</v>
      </c>
      <c r="L781" s="9" t="n">
        <f aca="false">IF($E781=0,0,IF($G781&gt;=Comm_Slab2_Start,$F781*Comm_Slab2_Rate,$E781*Comm_Slab1_Paisa/Paisa_Per_PKR))</f>
        <v>985.804625</v>
      </c>
      <c r="M781" s="9" t="n">
        <f aca="false">$L781*SST_Rate</f>
        <v>128.15460125</v>
      </c>
      <c r="N781" s="9" t="n">
        <f aca="false">$L781+$M781</f>
        <v>1113.95922625</v>
      </c>
      <c r="O781" s="9" t="n">
        <f aca="false">$J781-$N781</f>
        <v>706.04077375</v>
      </c>
      <c r="P781" s="10" t="n">
        <f aca="false">IF($C781=0,"N/A",$O781/$C781)</f>
        <v>0.000232907221438762</v>
      </c>
    </row>
    <row r="782" customFormat="false" ht="15" hidden="false" customHeight="false" outlineLevel="0" collapsed="false">
      <c r="A782" s="29" t="s">
        <v>42</v>
      </c>
      <c r="B782" s="50" t="n">
        <f aca="false">SUM(B777:B781)</f>
        <v>72500</v>
      </c>
      <c r="C782" s="50" t="n">
        <f aca="false">SUM(C777:C781)</f>
        <v>11671305</v>
      </c>
      <c r="D782" s="51" t="n">
        <f aca="false">IF($B782=0,"",$C782/$B782)</f>
        <v>160.983517241379</v>
      </c>
      <c r="E782" s="50" t="n">
        <f aca="false">SUM(E777:E781)</f>
        <v>72500</v>
      </c>
      <c r="F782" s="29" t="n">
        <f aca="false">SUM(F777:F781)</f>
        <v>11678640</v>
      </c>
      <c r="G782" s="51" t="n">
        <f aca="false">IF($E782=0,"",$F782/$E782)</f>
        <v>161.084689655172</v>
      </c>
      <c r="H782" s="51" t="n">
        <f aca="false">IF(OR($B782=0,$E782=0),"N/A",$G782-$D782)</f>
        <v>0.101172413793108</v>
      </c>
      <c r="I782" s="50" t="n">
        <f aca="false">$B782-$E782</f>
        <v>0</v>
      </c>
      <c r="J782" s="51" t="n">
        <f aca="false">SUM(J777:J781)</f>
        <v>7335</v>
      </c>
      <c r="K782" s="29"/>
      <c r="L782" s="51" t="n">
        <f aca="false">SUM(L777:L781)</f>
        <v>3795.558</v>
      </c>
      <c r="M782" s="51" t="n">
        <f aca="false">SUM(M777:M781)</f>
        <v>493.42254</v>
      </c>
      <c r="N782" s="51" t="n">
        <f aca="false">$L782+$M782</f>
        <v>4288.98054</v>
      </c>
      <c r="O782" s="51" t="n">
        <f aca="false">SUM(O777:O781)</f>
        <v>3046.01946</v>
      </c>
      <c r="P782" s="52" t="n">
        <f aca="false">IF($C782=0,"N/A",$O782/$C782)</f>
        <v>0.000260983622654022</v>
      </c>
    </row>
    <row r="785" customFormat="false" ht="19.7" hidden="false" customHeight="false" outlineLevel="0" collapsed="false">
      <c r="A785" s="1" t="s">
        <v>219</v>
      </c>
    </row>
    <row r="786" customFormat="false" ht="15" hidden="false" customHeight="false" outlineLevel="0" collapsed="false">
      <c r="A786" s="2" t="s">
        <v>132</v>
      </c>
      <c r="D786" s="31" t="s">
        <v>133</v>
      </c>
    </row>
    <row r="787" customFormat="false" ht="15" hidden="false" customHeight="false" outlineLevel="0" collapsed="false">
      <c r="A787" s="3" t="s">
        <v>134</v>
      </c>
      <c r="B787" s="27" t="n">
        <v>46311</v>
      </c>
      <c r="D787" s="3" t="s">
        <v>135</v>
      </c>
      <c r="E787" s="47" t="n">
        <f aca="false">C803</f>
        <v>4845060</v>
      </c>
    </row>
    <row r="788" customFormat="false" ht="15" hidden="false" customHeight="false" outlineLevel="0" collapsed="false">
      <c r="A788" s="3" t="s">
        <v>136</v>
      </c>
      <c r="B788" s="28" t="s">
        <v>137</v>
      </c>
      <c r="D788" s="3" t="s">
        <v>138</v>
      </c>
      <c r="E788" s="47" t="n">
        <f aca="false">F803</f>
        <v>4855610</v>
      </c>
    </row>
    <row r="789" customFormat="false" ht="15" hidden="false" customHeight="false" outlineLevel="0" collapsed="false">
      <c r="A789" s="3" t="s">
        <v>139</v>
      </c>
      <c r="B789" s="28" t="s">
        <v>151</v>
      </c>
      <c r="D789" s="3" t="s">
        <v>11</v>
      </c>
      <c r="E789" s="47" t="n">
        <f aca="false">J803</f>
        <v>10550</v>
      </c>
    </row>
    <row r="790" customFormat="false" ht="15" hidden="false" customHeight="false" outlineLevel="0" collapsed="false">
      <c r="A790" s="3" t="s">
        <v>141</v>
      </c>
      <c r="B790" s="28" t="s">
        <v>142</v>
      </c>
      <c r="D790" s="3" t="s">
        <v>13</v>
      </c>
      <c r="E790" s="47" t="n">
        <f aca="false">L803</f>
        <v>1578.07325</v>
      </c>
    </row>
    <row r="791" customFormat="false" ht="15" hidden="false" customHeight="false" outlineLevel="0" collapsed="false">
      <c r="A791" s="3" t="s">
        <v>143</v>
      </c>
      <c r="B791" s="28" t="s">
        <v>144</v>
      </c>
      <c r="D791" s="3" t="s">
        <v>15</v>
      </c>
      <c r="E791" s="47" t="n">
        <f aca="false">M803</f>
        <v>205.1495225</v>
      </c>
    </row>
    <row r="792" customFormat="false" ht="15" hidden="false" customHeight="false" outlineLevel="0" collapsed="false">
      <c r="A792" s="3" t="s">
        <v>145</v>
      </c>
      <c r="B792" s="28" t="s">
        <v>220</v>
      </c>
      <c r="D792" s="3" t="s">
        <v>147</v>
      </c>
      <c r="E792" s="47" t="n">
        <f aca="false">N803</f>
        <v>1783.2227725</v>
      </c>
    </row>
    <row r="793" customFormat="false" ht="15" hidden="false" customHeight="false" outlineLevel="0" collapsed="false">
      <c r="D793" s="3" t="s">
        <v>16</v>
      </c>
      <c r="E793" s="47" t="n">
        <f aca="false">O803</f>
        <v>8766.7772275</v>
      </c>
    </row>
    <row r="794" customFormat="false" ht="15" hidden="false" customHeight="false" outlineLevel="0" collapsed="false">
      <c r="D794" s="3" t="s">
        <v>8</v>
      </c>
      <c r="E794" s="48" t="n">
        <f aca="false">P803</f>
        <v>0.00180942593641771</v>
      </c>
    </row>
    <row r="795" customFormat="false" ht="15" hidden="false" customHeight="false" outlineLevel="0" collapsed="false">
      <c r="D795" s="3" t="s">
        <v>148</v>
      </c>
      <c r="E795" s="49" t="n">
        <f aca="false">I803</f>
        <v>0</v>
      </c>
    </row>
    <row r="796" customFormat="false" ht="15" hidden="false" customHeight="false" outlineLevel="0" collapsed="false">
      <c r="A796" s="31" t="s">
        <v>149</v>
      </c>
    </row>
    <row r="797" customFormat="false" ht="30" hidden="false" customHeight="true" outlineLevel="0" collapsed="false">
      <c r="A797" s="18" t="s">
        <v>71</v>
      </c>
      <c r="B797" s="18" t="s">
        <v>33</v>
      </c>
      <c r="C797" s="18" t="s">
        <v>36</v>
      </c>
      <c r="D797" s="18" t="s">
        <v>60</v>
      </c>
      <c r="E797" s="18" t="s">
        <v>34</v>
      </c>
      <c r="F797" s="18" t="s">
        <v>37</v>
      </c>
      <c r="G797" s="18" t="s">
        <v>61</v>
      </c>
      <c r="H797" s="18" t="s">
        <v>62</v>
      </c>
      <c r="I797" s="18" t="s">
        <v>35</v>
      </c>
      <c r="J797" s="18" t="s">
        <v>38</v>
      </c>
      <c r="K797" s="18" t="s">
        <v>63</v>
      </c>
      <c r="L797" s="18" t="s">
        <v>39</v>
      </c>
      <c r="M797" s="18" t="s">
        <v>64</v>
      </c>
      <c r="N797" s="18" t="s">
        <v>41</v>
      </c>
      <c r="O797" s="18" t="s">
        <v>7</v>
      </c>
      <c r="P797" s="18" t="s">
        <v>8</v>
      </c>
    </row>
    <row r="798" customFormat="false" ht="15" hidden="false" customHeight="false" outlineLevel="0" collapsed="false">
      <c r="A798" s="6" t="s">
        <v>80</v>
      </c>
      <c r="B798" s="33" t="n">
        <v>3500</v>
      </c>
      <c r="C798" s="33" t="n">
        <v>2343835</v>
      </c>
      <c r="D798" s="9" t="n">
        <f aca="false">IF($B798=0,"",$C798/$B798)</f>
        <v>669.667142857143</v>
      </c>
      <c r="E798" s="33" t="n">
        <v>3500</v>
      </c>
      <c r="F798" s="6" t="n">
        <v>2347160</v>
      </c>
      <c r="G798" s="9" t="n">
        <f aca="false">IF($E798=0,"",$F798/$E798)</f>
        <v>670.617142857143</v>
      </c>
      <c r="H798" s="9" t="n">
        <f aca="false">IF(OR($B798=0,$E798=0),"N/A",$G798-$D798)</f>
        <v>0.950000000000046</v>
      </c>
      <c r="I798" s="33" t="n">
        <f aca="false">$B798-$E798</f>
        <v>0</v>
      </c>
      <c r="J798" s="9" t="n">
        <f aca="false">$F798-$C798</f>
        <v>3325</v>
      </c>
      <c r="K798" s="6" t="str">
        <f aca="false">IF($E798=0,"—",IF($G798&gt;=Comm_Slab2_Start,"0.0325% of sell value","0.0175 paisa per share"))</f>
        <v>0.0325% of sell value</v>
      </c>
      <c r="L798" s="9" t="n">
        <f aca="false">IF($E798=0,0,IF($G798&gt;=Comm_Slab2_Start,$F798*Comm_Slab2_Rate,$E798*Comm_Slab1_Paisa/Paisa_Per_PKR))</f>
        <v>762.827</v>
      </c>
      <c r="M798" s="9" t="n">
        <f aca="false">$L798*SST_Rate</f>
        <v>99.16751</v>
      </c>
      <c r="N798" s="9" t="n">
        <f aca="false">$L798+$M798</f>
        <v>861.99451</v>
      </c>
      <c r="O798" s="9" t="n">
        <f aca="false">$J798-$N798</f>
        <v>2463.00549</v>
      </c>
      <c r="P798" s="10" t="n">
        <f aca="false">IF($C798=0,"N/A",$O798/$C798)</f>
        <v>0.00105084423178253</v>
      </c>
    </row>
    <row r="799" customFormat="false" ht="15" hidden="false" customHeight="false" outlineLevel="0" collapsed="false">
      <c r="A799" s="6" t="s">
        <v>83</v>
      </c>
      <c r="B799" s="33" t="n">
        <v>5000</v>
      </c>
      <c r="C799" s="33" t="n">
        <v>1065500</v>
      </c>
      <c r="D799" s="9" t="n">
        <f aca="false">IF($B799=0,"",$C799/$B799)</f>
        <v>213.1</v>
      </c>
      <c r="E799" s="33" t="n">
        <v>5000</v>
      </c>
      <c r="F799" s="6" t="n">
        <v>1070000</v>
      </c>
      <c r="G799" s="9" t="n">
        <f aca="false">IF($E799=0,"",$F799/$E799)</f>
        <v>214</v>
      </c>
      <c r="H799" s="9" t="n">
        <f aca="false">IF(OR($B799=0,$E799=0),"N/A",$G799-$D799)</f>
        <v>0.900000000000006</v>
      </c>
      <c r="I799" s="33" t="n">
        <f aca="false">$B799-$E799</f>
        <v>0</v>
      </c>
      <c r="J799" s="9" t="n">
        <f aca="false">$F799-$C799</f>
        <v>4500</v>
      </c>
      <c r="K799" s="6" t="str">
        <f aca="false">IF($E799=0,"—",IF($G799&gt;=Comm_Slab2_Start,"0.0325% of sell value","0.0175 paisa per share"))</f>
        <v>0.0325% of sell value</v>
      </c>
      <c r="L799" s="9" t="n">
        <f aca="false">IF($E799=0,0,IF($G799&gt;=Comm_Slab2_Start,$F799*Comm_Slab2_Rate,$E799*Comm_Slab1_Paisa/Paisa_Per_PKR))</f>
        <v>347.75</v>
      </c>
      <c r="M799" s="9" t="n">
        <f aca="false">$L799*SST_Rate</f>
        <v>45.2075</v>
      </c>
      <c r="N799" s="9" t="n">
        <f aca="false">$L799+$M799</f>
        <v>392.9575</v>
      </c>
      <c r="O799" s="9" t="n">
        <f aca="false">$J799-$N799</f>
        <v>4107.0425</v>
      </c>
      <c r="P799" s="10" t="n">
        <f aca="false">IF($C799=0,"N/A",$O799/$C799)</f>
        <v>0.00385456827780385</v>
      </c>
    </row>
    <row r="800" customFormat="false" ht="15" hidden="false" customHeight="false" outlineLevel="0" collapsed="false">
      <c r="A800" s="6" t="s">
        <v>75</v>
      </c>
      <c r="B800" s="33" t="n">
        <v>10000</v>
      </c>
      <c r="C800" s="33" t="n">
        <v>1056830</v>
      </c>
      <c r="D800" s="9" t="n">
        <f aca="false">IF($B800=0,"",$C800/$B800)</f>
        <v>105.683</v>
      </c>
      <c r="E800" s="33" t="n">
        <v>10000</v>
      </c>
      <c r="F800" s="6" t="n">
        <v>1059500</v>
      </c>
      <c r="G800" s="9" t="n">
        <f aca="false">IF($E800=0,"",$F800/$E800)</f>
        <v>105.95</v>
      </c>
      <c r="H800" s="9" t="n">
        <f aca="false">IF(OR($B800=0,$E800=0),"N/A",$G800-$D800)</f>
        <v>0.266999999999996</v>
      </c>
      <c r="I800" s="33" t="n">
        <f aca="false">$B800-$E800</f>
        <v>0</v>
      </c>
      <c r="J800" s="9" t="n">
        <f aca="false">$F800-$C800</f>
        <v>2670</v>
      </c>
      <c r="K800" s="6" t="str">
        <f aca="false">IF($E800=0,"—",IF($G800&gt;=Comm_Slab2_Start,"0.0325% of sell value","0.0175 paisa per share"))</f>
        <v>0.0325% of sell value</v>
      </c>
      <c r="L800" s="9" t="n">
        <f aca="false">IF($E800=0,0,IF($G800&gt;=Comm_Slab2_Start,$F800*Comm_Slab2_Rate,$E800*Comm_Slab1_Paisa/Paisa_Per_PKR))</f>
        <v>344.3375</v>
      </c>
      <c r="M800" s="9" t="n">
        <f aca="false">$L800*SST_Rate</f>
        <v>44.763875</v>
      </c>
      <c r="N800" s="9" t="n">
        <f aca="false">$L800+$M800</f>
        <v>389.101375</v>
      </c>
      <c r="O800" s="9" t="n">
        <f aca="false">$J800-$N800</f>
        <v>2280.898625</v>
      </c>
      <c r="P800" s="10" t="n">
        <f aca="false">IF($C800=0,"N/A",$O800/$C800)</f>
        <v>0.00215824553144782</v>
      </c>
    </row>
    <row r="801" customFormat="false" ht="15" hidden="false" customHeight="false" outlineLevel="0" collapsed="false">
      <c r="A801" s="6" t="s">
        <v>101</v>
      </c>
      <c r="B801" s="33" t="n">
        <v>500</v>
      </c>
      <c r="C801" s="33" t="n">
        <v>179600</v>
      </c>
      <c r="D801" s="9" t="n">
        <f aca="false">IF($B801=0,"",$C801/$B801)</f>
        <v>359.2</v>
      </c>
      <c r="E801" s="33" t="n">
        <v>500</v>
      </c>
      <c r="F801" s="6" t="n">
        <v>179725</v>
      </c>
      <c r="G801" s="9" t="n">
        <f aca="false">IF($E801=0,"",$F801/$E801)</f>
        <v>359.45</v>
      </c>
      <c r="H801" s="9" t="n">
        <f aca="false">IF(OR($B801=0,$E801=0),"N/A",$G801-$D801)</f>
        <v>0.25</v>
      </c>
      <c r="I801" s="33" t="n">
        <f aca="false">$B801-$E801</f>
        <v>0</v>
      </c>
      <c r="J801" s="9" t="n">
        <f aca="false">$F801-$C801</f>
        <v>125</v>
      </c>
      <c r="K801" s="6" t="str">
        <f aca="false">IF($E801=0,"—",IF($G801&gt;=Comm_Slab2_Start,"0.0325% of sell value","0.0175 paisa per share"))</f>
        <v>0.0325% of sell value</v>
      </c>
      <c r="L801" s="9" t="n">
        <f aca="false">IF($E801=0,0,IF($G801&gt;=Comm_Slab2_Start,$F801*Comm_Slab2_Rate,$E801*Comm_Slab1_Paisa/Paisa_Per_PKR))</f>
        <v>58.410625</v>
      </c>
      <c r="M801" s="9" t="n">
        <f aca="false">$L801*SST_Rate</f>
        <v>7.59338125</v>
      </c>
      <c r="N801" s="9" t="n">
        <f aca="false">$L801+$M801</f>
        <v>66.00400625</v>
      </c>
      <c r="O801" s="9" t="n">
        <f aca="false">$J801-$N801</f>
        <v>58.99599375</v>
      </c>
      <c r="P801" s="10" t="n">
        <f aca="false">IF($C801=0,"N/A",$O801/$C801)</f>
        <v>0.000328485488585746</v>
      </c>
    </row>
    <row r="802" customFormat="false" ht="15" hidden="false" customHeight="false" outlineLevel="0" collapsed="false">
      <c r="A802" s="6" t="s">
        <v>116</v>
      </c>
      <c r="B802" s="33" t="n">
        <v>3500</v>
      </c>
      <c r="C802" s="33" t="n">
        <v>199295</v>
      </c>
      <c r="D802" s="9" t="n">
        <f aca="false">IF($B802=0,"",$C802/$B802)</f>
        <v>56.9414285714286</v>
      </c>
      <c r="E802" s="33" t="n">
        <v>3500</v>
      </c>
      <c r="F802" s="6" t="n">
        <v>199225</v>
      </c>
      <c r="G802" s="9" t="n">
        <f aca="false">IF($E802=0,"",$F802/$E802)</f>
        <v>56.9214285714286</v>
      </c>
      <c r="H802" s="9" t="n">
        <f aca="false">IF(OR($B802=0,$E802=0),"N/A",$G802-$D802)</f>
        <v>-0.0200000000000031</v>
      </c>
      <c r="I802" s="33" t="n">
        <f aca="false">$B802-$E802</f>
        <v>0</v>
      </c>
      <c r="J802" s="9" t="n">
        <f aca="false">$F802-$C802</f>
        <v>-70</v>
      </c>
      <c r="K802" s="6" t="str">
        <f aca="false">IF($E802=0,"—",IF($G802&gt;=Comm_Slab2_Start,"0.0325% of sell value","0.0175 paisa per share"))</f>
        <v>0.0325% of sell value</v>
      </c>
      <c r="L802" s="9" t="n">
        <f aca="false">IF($E802=0,0,IF($G802&gt;=Comm_Slab2_Start,$F802*Comm_Slab2_Rate,$E802*Comm_Slab1_Paisa/Paisa_Per_PKR))</f>
        <v>64.748125</v>
      </c>
      <c r="M802" s="9" t="n">
        <f aca="false">$L802*SST_Rate</f>
        <v>8.41725625</v>
      </c>
      <c r="N802" s="9" t="n">
        <f aca="false">$L802+$M802</f>
        <v>73.16538125</v>
      </c>
      <c r="O802" s="9" t="n">
        <f aca="false">$J802-$N802</f>
        <v>-143.16538125</v>
      </c>
      <c r="P802" s="10" t="n">
        <f aca="false">IF($C802=0,"N/A",$O802/$C802)</f>
        <v>-0.000718359122155599</v>
      </c>
    </row>
    <row r="803" customFormat="false" ht="15" hidden="false" customHeight="false" outlineLevel="0" collapsed="false">
      <c r="A803" s="29" t="s">
        <v>42</v>
      </c>
      <c r="B803" s="50" t="n">
        <f aca="false">SUM(B798:B802)</f>
        <v>22500</v>
      </c>
      <c r="C803" s="50" t="n">
        <f aca="false">SUM(C798:C802)</f>
        <v>4845060</v>
      </c>
      <c r="D803" s="51" t="n">
        <f aca="false">IF($B803=0,"",$C803/$B803)</f>
        <v>215.336</v>
      </c>
      <c r="E803" s="50" t="n">
        <f aca="false">SUM(E798:E802)</f>
        <v>22500</v>
      </c>
      <c r="F803" s="29" t="n">
        <f aca="false">SUM(F798:F802)</f>
        <v>4855610</v>
      </c>
      <c r="G803" s="51" t="n">
        <f aca="false">IF($E803=0,"",$F803/$E803)</f>
        <v>215.804888888889</v>
      </c>
      <c r="H803" s="51" t="n">
        <f aca="false">IF(OR($B803=0,$E803=0),"N/A",$G803-$D803)</f>
        <v>0.46888888888887</v>
      </c>
      <c r="I803" s="50" t="n">
        <f aca="false">$B803-$E803</f>
        <v>0</v>
      </c>
      <c r="J803" s="51" t="n">
        <f aca="false">SUM(J798:J802)</f>
        <v>10550</v>
      </c>
      <c r="K803" s="29"/>
      <c r="L803" s="51" t="n">
        <f aca="false">SUM(L798:L802)</f>
        <v>1578.07325</v>
      </c>
      <c r="M803" s="51" t="n">
        <f aca="false">SUM(M798:M802)</f>
        <v>205.1495225</v>
      </c>
      <c r="N803" s="51" t="n">
        <f aca="false">$L803+$M803</f>
        <v>1783.2227725</v>
      </c>
      <c r="O803" s="51" t="n">
        <f aca="false">SUM(O798:O802)</f>
        <v>8766.7772275</v>
      </c>
      <c r="P803" s="52" t="n">
        <f aca="false">IF($C803=0,"N/A",$O803/$C803)</f>
        <v>0.00180942593641771</v>
      </c>
    </row>
  </sheetData>
  <conditionalFormatting sqref="J14:J21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N14:O21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P14:P21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E5">
    <cfRule type="cellIs" priority="8" operator="greaterThan" aboveAverage="0" equalAverage="0" bottom="0" percent="0" rank="0" text="" dxfId="0">
      <formula>0</formula>
    </cfRule>
    <cfRule type="cellIs" priority="9" operator="lessThan" aboveAverage="0" equalAverage="0" bottom="0" percent="0" rank="0" text="" dxfId="1">
      <formula>0</formula>
    </cfRule>
  </conditionalFormatting>
  <conditionalFormatting sqref="E9">
    <cfRule type="cellIs" priority="10" operator="greaterThan" aboveAverage="0" equalAverage="0" bottom="0" percent="0" rank="0" text="" dxfId="0">
      <formula>0</formula>
    </cfRule>
    <cfRule type="cellIs" priority="11" operator="lessThan" aboveAverage="0" equalAverage="0" bottom="0" percent="0" rank="0" text="" dxfId="1">
      <formula>0</formula>
    </cfRule>
  </conditionalFormatting>
  <conditionalFormatting sqref="E10">
    <cfRule type="cellIs" priority="12" operator="greaterThan" aboveAverage="0" equalAverage="0" bottom="0" percent="0" rank="0" text="" dxfId="0">
      <formula>0</formula>
    </cfRule>
    <cfRule type="cellIs" priority="13" operator="lessThan" aboveAverage="0" equalAverage="0" bottom="0" percent="0" rank="0" text="" dxfId="1">
      <formula>0</formula>
    </cfRule>
  </conditionalFormatting>
  <conditionalFormatting sqref="J37:J47">
    <cfRule type="cellIs" priority="14" operator="greaterThan" aboveAverage="0" equalAverage="0" bottom="0" percent="0" rank="0" text="" dxfId="0">
      <formula>0</formula>
    </cfRule>
    <cfRule type="cellIs" priority="15" operator="lessThan" aboveAverage="0" equalAverage="0" bottom="0" percent="0" rank="0" text="" dxfId="1">
      <formula>0</formula>
    </cfRule>
  </conditionalFormatting>
  <conditionalFormatting sqref="N37:O47">
    <cfRule type="cellIs" priority="16" operator="greaterThan" aboveAverage="0" equalAverage="0" bottom="0" percent="0" rank="0" text="" dxfId="0">
      <formula>0</formula>
    </cfRule>
    <cfRule type="cellIs" priority="17" operator="lessThan" aboveAverage="0" equalAverage="0" bottom="0" percent="0" rank="0" text="" dxfId="1">
      <formula>0</formula>
    </cfRule>
  </conditionalFormatting>
  <conditionalFormatting sqref="P37:P47">
    <cfRule type="cellIs" priority="18" operator="greaterThan" aboveAverage="0" equalAverage="0" bottom="0" percent="0" rank="0" text="" dxfId="0">
      <formula>0</formula>
    </cfRule>
    <cfRule type="cellIs" priority="19" operator="lessThan" aboveAverage="0" equalAverage="0" bottom="0" percent="0" rank="0" text="" dxfId="1">
      <formula>0</formula>
    </cfRule>
  </conditionalFormatting>
  <conditionalFormatting sqref="E28">
    <cfRule type="cellIs" priority="20" operator="greaterThan" aboveAverage="0" equalAverage="0" bottom="0" percent="0" rank="0" text="" dxfId="0">
      <formula>0</formula>
    </cfRule>
    <cfRule type="cellIs" priority="21" operator="lessThan" aboveAverage="0" equalAverage="0" bottom="0" percent="0" rank="0" text="" dxfId="1">
      <formula>0</formula>
    </cfRule>
  </conditionalFormatting>
  <conditionalFormatting sqref="E32">
    <cfRule type="cellIs" priority="22" operator="greaterThan" aboveAverage="0" equalAverage="0" bottom="0" percent="0" rank="0" text="" dxfId="0">
      <formula>0</formula>
    </cfRule>
    <cfRule type="cellIs" priority="23" operator="lessThan" aboveAverage="0" equalAverage="0" bottom="0" percent="0" rank="0" text="" dxfId="1">
      <formula>0</formula>
    </cfRule>
  </conditionalFormatting>
  <conditionalFormatting sqref="E33">
    <cfRule type="cellIs" priority="24" operator="greaterThan" aboveAverage="0" equalAverage="0" bottom="0" percent="0" rank="0" text="" dxfId="0">
      <formula>0</formula>
    </cfRule>
    <cfRule type="cellIs" priority="25" operator="lessThan" aboveAverage="0" equalAverage="0" bottom="0" percent="0" rank="0" text="" dxfId="1">
      <formula>0</formula>
    </cfRule>
  </conditionalFormatting>
  <conditionalFormatting sqref="J63:J70">
    <cfRule type="cellIs" priority="26" operator="greaterThan" aboveAverage="0" equalAverage="0" bottom="0" percent="0" rank="0" text="" dxfId="0">
      <formula>0</formula>
    </cfRule>
    <cfRule type="cellIs" priority="27" operator="lessThan" aboveAverage="0" equalAverage="0" bottom="0" percent="0" rank="0" text="" dxfId="1">
      <formula>0</formula>
    </cfRule>
  </conditionalFormatting>
  <conditionalFormatting sqref="N63:O70">
    <cfRule type="cellIs" priority="28" operator="greaterThan" aboveAverage="0" equalAverage="0" bottom="0" percent="0" rank="0" text="" dxfId="0">
      <formula>0</formula>
    </cfRule>
    <cfRule type="cellIs" priority="29" operator="lessThan" aboveAverage="0" equalAverage="0" bottom="0" percent="0" rank="0" text="" dxfId="1">
      <formula>0</formula>
    </cfRule>
  </conditionalFormatting>
  <conditionalFormatting sqref="P63:P70">
    <cfRule type="cellIs" priority="30" operator="greaterThan" aboveAverage="0" equalAverage="0" bottom="0" percent="0" rank="0" text="" dxfId="0">
      <formula>0</formula>
    </cfRule>
    <cfRule type="cellIs" priority="31" operator="lessThan" aboveAverage="0" equalAverage="0" bottom="0" percent="0" rank="0" text="" dxfId="1">
      <formula>0</formula>
    </cfRule>
  </conditionalFormatting>
  <conditionalFormatting sqref="E54">
    <cfRule type="cellIs" priority="32" operator="greaterThan" aboveAverage="0" equalAverage="0" bottom="0" percent="0" rank="0" text="" dxfId="0">
      <formula>0</formula>
    </cfRule>
    <cfRule type="cellIs" priority="33" operator="lessThan" aboveAverage="0" equalAverage="0" bottom="0" percent="0" rank="0" text="" dxfId="1">
      <formula>0</formula>
    </cfRule>
  </conditionalFormatting>
  <conditionalFormatting sqref="E58">
    <cfRule type="cellIs" priority="34" operator="greaterThan" aboveAverage="0" equalAverage="0" bottom="0" percent="0" rank="0" text="" dxfId="0">
      <formula>0</formula>
    </cfRule>
    <cfRule type="cellIs" priority="35" operator="lessThan" aboveAverage="0" equalAverage="0" bottom="0" percent="0" rank="0" text="" dxfId="1">
      <formula>0</formula>
    </cfRule>
  </conditionalFormatting>
  <conditionalFormatting sqref="E59">
    <cfRule type="cellIs" priority="36" operator="greaterThan" aboveAverage="0" equalAverage="0" bottom="0" percent="0" rank="0" text="" dxfId="0">
      <formula>0</formula>
    </cfRule>
    <cfRule type="cellIs" priority="37" operator="lessThan" aboveAverage="0" equalAverage="0" bottom="0" percent="0" rank="0" text="" dxfId="1">
      <formula>0</formula>
    </cfRule>
  </conditionalFormatting>
  <conditionalFormatting sqref="J86:J94">
    <cfRule type="cellIs" priority="38" operator="greaterThan" aboveAverage="0" equalAverage="0" bottom="0" percent="0" rank="0" text="" dxfId="0">
      <formula>0</formula>
    </cfRule>
    <cfRule type="cellIs" priority="39" operator="lessThan" aboveAverage="0" equalAverage="0" bottom="0" percent="0" rank="0" text="" dxfId="1">
      <formula>0</formula>
    </cfRule>
  </conditionalFormatting>
  <conditionalFormatting sqref="N86:O94">
    <cfRule type="cellIs" priority="40" operator="greaterThan" aboveAverage="0" equalAverage="0" bottom="0" percent="0" rank="0" text="" dxfId="0">
      <formula>0</formula>
    </cfRule>
    <cfRule type="cellIs" priority="41" operator="lessThan" aboveAverage="0" equalAverage="0" bottom="0" percent="0" rank="0" text="" dxfId="1">
      <formula>0</formula>
    </cfRule>
  </conditionalFormatting>
  <conditionalFormatting sqref="P86:P94">
    <cfRule type="cellIs" priority="42" operator="greaterThan" aboveAverage="0" equalAverage="0" bottom="0" percent="0" rank="0" text="" dxfId="0">
      <formula>0</formula>
    </cfRule>
    <cfRule type="cellIs" priority="43" operator="lessThan" aboveAverage="0" equalAverage="0" bottom="0" percent="0" rank="0" text="" dxfId="1">
      <formula>0</formula>
    </cfRule>
  </conditionalFormatting>
  <conditionalFormatting sqref="E77">
    <cfRule type="cellIs" priority="44" operator="greaterThan" aboveAverage="0" equalAverage="0" bottom="0" percent="0" rank="0" text="" dxfId="0">
      <formula>0</formula>
    </cfRule>
    <cfRule type="cellIs" priority="45" operator="lessThan" aboveAverage="0" equalAverage="0" bottom="0" percent="0" rank="0" text="" dxfId="1">
      <formula>0</formula>
    </cfRule>
  </conditionalFormatting>
  <conditionalFormatting sqref="E81">
    <cfRule type="cellIs" priority="46" operator="greaterThan" aboveAverage="0" equalAverage="0" bottom="0" percent="0" rank="0" text="" dxfId="0">
      <formula>0</formula>
    </cfRule>
    <cfRule type="cellIs" priority="47" operator="lessThan" aboveAverage="0" equalAverage="0" bottom="0" percent="0" rank="0" text="" dxfId="1">
      <formula>0</formula>
    </cfRule>
  </conditionalFormatting>
  <conditionalFormatting sqref="E82">
    <cfRule type="cellIs" priority="48" operator="greaterThan" aboveAverage="0" equalAverage="0" bottom="0" percent="0" rank="0" text="" dxfId="0">
      <formula>0</formula>
    </cfRule>
    <cfRule type="cellIs" priority="49" operator="lessThan" aboveAverage="0" equalAverage="0" bottom="0" percent="0" rank="0" text="" dxfId="1">
      <formula>0</formula>
    </cfRule>
  </conditionalFormatting>
  <conditionalFormatting sqref="J110:J117">
    <cfRule type="cellIs" priority="50" operator="greaterThan" aboveAverage="0" equalAverage="0" bottom="0" percent="0" rank="0" text="" dxfId="0">
      <formula>0</formula>
    </cfRule>
    <cfRule type="cellIs" priority="51" operator="lessThan" aboveAverage="0" equalAverage="0" bottom="0" percent="0" rank="0" text="" dxfId="1">
      <formula>0</formula>
    </cfRule>
  </conditionalFormatting>
  <conditionalFormatting sqref="N110:O117">
    <cfRule type="cellIs" priority="52" operator="greaterThan" aboveAverage="0" equalAverage="0" bottom="0" percent="0" rank="0" text="" dxfId="0">
      <formula>0</formula>
    </cfRule>
    <cfRule type="cellIs" priority="53" operator="lessThan" aboveAverage="0" equalAverage="0" bottom="0" percent="0" rank="0" text="" dxfId="1">
      <formula>0</formula>
    </cfRule>
  </conditionalFormatting>
  <conditionalFormatting sqref="P110:P117">
    <cfRule type="cellIs" priority="54" operator="greaterThan" aboveAverage="0" equalAverage="0" bottom="0" percent="0" rank="0" text="" dxfId="0">
      <formula>0</formula>
    </cfRule>
    <cfRule type="cellIs" priority="55" operator="lessThan" aboveAverage="0" equalAverage="0" bottom="0" percent="0" rank="0" text="" dxfId="1">
      <formula>0</formula>
    </cfRule>
  </conditionalFormatting>
  <conditionalFormatting sqref="E101">
    <cfRule type="cellIs" priority="56" operator="greaterThan" aboveAverage="0" equalAverage="0" bottom="0" percent="0" rank="0" text="" dxfId="0">
      <formula>0</formula>
    </cfRule>
    <cfRule type="cellIs" priority="57" operator="lessThan" aboveAverage="0" equalAverage="0" bottom="0" percent="0" rank="0" text="" dxfId="1">
      <formula>0</formula>
    </cfRule>
  </conditionalFormatting>
  <conditionalFormatting sqref="E105">
    <cfRule type="cellIs" priority="58" operator="greaterThan" aboveAverage="0" equalAverage="0" bottom="0" percent="0" rank="0" text="" dxfId="0">
      <formula>0</formula>
    </cfRule>
    <cfRule type="cellIs" priority="59" operator="lessThan" aboveAverage="0" equalAverage="0" bottom="0" percent="0" rank="0" text="" dxfId="1">
      <formula>0</formula>
    </cfRule>
  </conditionalFormatting>
  <conditionalFormatting sqref="E106">
    <cfRule type="cellIs" priority="60" operator="greaterThan" aboveAverage="0" equalAverage="0" bottom="0" percent="0" rank="0" text="" dxfId="0">
      <formula>0</formula>
    </cfRule>
    <cfRule type="cellIs" priority="61" operator="lessThan" aboveAverage="0" equalAverage="0" bottom="0" percent="0" rank="0" text="" dxfId="1">
      <formula>0</formula>
    </cfRule>
  </conditionalFormatting>
  <conditionalFormatting sqref="J133:J140">
    <cfRule type="cellIs" priority="62" operator="greaterThan" aboveAverage="0" equalAverage="0" bottom="0" percent="0" rank="0" text="" dxfId="0">
      <formula>0</formula>
    </cfRule>
    <cfRule type="cellIs" priority="63" operator="lessThan" aboveAverage="0" equalAverage="0" bottom="0" percent="0" rank="0" text="" dxfId="1">
      <formula>0</formula>
    </cfRule>
  </conditionalFormatting>
  <conditionalFormatting sqref="N133:O140">
    <cfRule type="cellIs" priority="64" operator="greaterThan" aboveAverage="0" equalAverage="0" bottom="0" percent="0" rank="0" text="" dxfId="0">
      <formula>0</formula>
    </cfRule>
    <cfRule type="cellIs" priority="65" operator="lessThan" aboveAverage="0" equalAverage="0" bottom="0" percent="0" rank="0" text="" dxfId="1">
      <formula>0</formula>
    </cfRule>
  </conditionalFormatting>
  <conditionalFormatting sqref="P133:P140">
    <cfRule type="cellIs" priority="66" operator="greaterThan" aboveAverage="0" equalAverage="0" bottom="0" percent="0" rank="0" text="" dxfId="0">
      <formula>0</formula>
    </cfRule>
    <cfRule type="cellIs" priority="67" operator="lessThan" aboveAverage="0" equalAverage="0" bottom="0" percent="0" rank="0" text="" dxfId="1">
      <formula>0</formula>
    </cfRule>
  </conditionalFormatting>
  <conditionalFormatting sqref="E124">
    <cfRule type="cellIs" priority="68" operator="greaterThan" aboveAverage="0" equalAverage="0" bottom="0" percent="0" rank="0" text="" dxfId="0">
      <formula>0</formula>
    </cfRule>
    <cfRule type="cellIs" priority="69" operator="lessThan" aboveAverage="0" equalAverage="0" bottom="0" percent="0" rank="0" text="" dxfId="1">
      <formula>0</formula>
    </cfRule>
  </conditionalFormatting>
  <conditionalFormatting sqref="E128">
    <cfRule type="cellIs" priority="70" operator="greaterThan" aboveAverage="0" equalAverage="0" bottom="0" percent="0" rank="0" text="" dxfId="0">
      <formula>0</formula>
    </cfRule>
    <cfRule type="cellIs" priority="71" operator="lessThan" aboveAverage="0" equalAverage="0" bottom="0" percent="0" rank="0" text="" dxfId="1">
      <formula>0</formula>
    </cfRule>
  </conditionalFormatting>
  <conditionalFormatting sqref="E129">
    <cfRule type="cellIs" priority="72" operator="greaterThan" aboveAverage="0" equalAverage="0" bottom="0" percent="0" rank="0" text="" dxfId="0">
      <formula>0</formula>
    </cfRule>
    <cfRule type="cellIs" priority="73" operator="lessThan" aboveAverage="0" equalAverage="0" bottom="0" percent="0" rank="0" text="" dxfId="1">
      <formula>0</formula>
    </cfRule>
  </conditionalFormatting>
  <conditionalFormatting sqref="J156:J157">
    <cfRule type="cellIs" priority="74" operator="greaterThan" aboveAverage="0" equalAverage="0" bottom="0" percent="0" rank="0" text="" dxfId="0">
      <formula>0</formula>
    </cfRule>
    <cfRule type="cellIs" priority="75" operator="lessThan" aboveAverage="0" equalAverage="0" bottom="0" percent="0" rank="0" text="" dxfId="1">
      <formula>0</formula>
    </cfRule>
  </conditionalFormatting>
  <conditionalFormatting sqref="N156:O157">
    <cfRule type="cellIs" priority="76" operator="greaterThan" aboveAverage="0" equalAverage="0" bottom="0" percent="0" rank="0" text="" dxfId="0">
      <formula>0</formula>
    </cfRule>
    <cfRule type="cellIs" priority="77" operator="lessThan" aboveAverage="0" equalAverage="0" bottom="0" percent="0" rank="0" text="" dxfId="1">
      <formula>0</formula>
    </cfRule>
  </conditionalFormatting>
  <conditionalFormatting sqref="P156:P157">
    <cfRule type="cellIs" priority="78" operator="greaterThan" aboveAverage="0" equalAverage="0" bottom="0" percent="0" rank="0" text="" dxfId="0">
      <formula>0</formula>
    </cfRule>
    <cfRule type="cellIs" priority="79" operator="lessThan" aboveAverage="0" equalAverage="0" bottom="0" percent="0" rank="0" text="" dxfId="1">
      <formula>0</formula>
    </cfRule>
  </conditionalFormatting>
  <conditionalFormatting sqref="E147">
    <cfRule type="cellIs" priority="80" operator="greaterThan" aboveAverage="0" equalAverage="0" bottom="0" percent="0" rank="0" text="" dxfId="0">
      <formula>0</formula>
    </cfRule>
    <cfRule type="cellIs" priority="81" operator="lessThan" aboveAverage="0" equalAverage="0" bottom="0" percent="0" rank="0" text="" dxfId="1">
      <formula>0</formula>
    </cfRule>
  </conditionalFormatting>
  <conditionalFormatting sqref="E151">
    <cfRule type="cellIs" priority="82" operator="greaterThan" aboveAverage="0" equalAverage="0" bottom="0" percent="0" rank="0" text="" dxfId="0">
      <formula>0</formula>
    </cfRule>
    <cfRule type="cellIs" priority="83" operator="lessThan" aboveAverage="0" equalAverage="0" bottom="0" percent="0" rank="0" text="" dxfId="1">
      <formula>0</formula>
    </cfRule>
  </conditionalFormatting>
  <conditionalFormatting sqref="E152">
    <cfRule type="cellIs" priority="84" operator="greaterThan" aboveAverage="0" equalAverage="0" bottom="0" percent="0" rank="0" text="" dxfId="0">
      <formula>0</formula>
    </cfRule>
    <cfRule type="cellIs" priority="85" operator="lessThan" aboveAverage="0" equalAverage="0" bottom="0" percent="0" rank="0" text="" dxfId="1">
      <formula>0</formula>
    </cfRule>
  </conditionalFormatting>
  <conditionalFormatting sqref="J173:J179">
    <cfRule type="cellIs" priority="86" operator="greaterThan" aboveAverage="0" equalAverage="0" bottom="0" percent="0" rank="0" text="" dxfId="0">
      <formula>0</formula>
    </cfRule>
    <cfRule type="cellIs" priority="87" operator="lessThan" aboveAverage="0" equalAverage="0" bottom="0" percent="0" rank="0" text="" dxfId="1">
      <formula>0</formula>
    </cfRule>
  </conditionalFormatting>
  <conditionalFormatting sqref="N173:O179">
    <cfRule type="cellIs" priority="88" operator="greaterThan" aboveAverage="0" equalAverage="0" bottom="0" percent="0" rank="0" text="" dxfId="0">
      <formula>0</formula>
    </cfRule>
    <cfRule type="cellIs" priority="89" operator="lessThan" aboveAverage="0" equalAverage="0" bottom="0" percent="0" rank="0" text="" dxfId="1">
      <formula>0</formula>
    </cfRule>
  </conditionalFormatting>
  <conditionalFormatting sqref="P173:P179">
    <cfRule type="cellIs" priority="90" operator="greaterThan" aboveAverage="0" equalAverage="0" bottom="0" percent="0" rank="0" text="" dxfId="0">
      <formula>0</formula>
    </cfRule>
    <cfRule type="cellIs" priority="91" operator="lessThan" aboveAverage="0" equalAverage="0" bottom="0" percent="0" rank="0" text="" dxfId="1">
      <formula>0</formula>
    </cfRule>
  </conditionalFormatting>
  <conditionalFormatting sqref="E164">
    <cfRule type="cellIs" priority="92" operator="greaterThan" aboveAverage="0" equalAverage="0" bottom="0" percent="0" rank="0" text="" dxfId="0">
      <formula>0</formula>
    </cfRule>
    <cfRule type="cellIs" priority="93" operator="lessThan" aboveAverage="0" equalAverage="0" bottom="0" percent="0" rank="0" text="" dxfId="1">
      <formula>0</formula>
    </cfRule>
  </conditionalFormatting>
  <conditionalFormatting sqref="E168">
    <cfRule type="cellIs" priority="94" operator="greaterThan" aboveAverage="0" equalAverage="0" bottom="0" percent="0" rank="0" text="" dxfId="0">
      <formula>0</formula>
    </cfRule>
    <cfRule type="cellIs" priority="95" operator="lessThan" aboveAverage="0" equalAverage="0" bottom="0" percent="0" rank="0" text="" dxfId="1">
      <formula>0</formula>
    </cfRule>
  </conditionalFormatting>
  <conditionalFormatting sqref="E169">
    <cfRule type="cellIs" priority="96" operator="greaterThan" aboveAverage="0" equalAverage="0" bottom="0" percent="0" rank="0" text="" dxfId="0">
      <formula>0</formula>
    </cfRule>
    <cfRule type="cellIs" priority="97" operator="lessThan" aboveAverage="0" equalAverage="0" bottom="0" percent="0" rank="0" text="" dxfId="1">
      <formula>0</formula>
    </cfRule>
  </conditionalFormatting>
  <conditionalFormatting sqref="J195:J203">
    <cfRule type="cellIs" priority="98" operator="greaterThan" aboveAverage="0" equalAverage="0" bottom="0" percent="0" rank="0" text="" dxfId="0">
      <formula>0</formula>
    </cfRule>
    <cfRule type="cellIs" priority="99" operator="lessThan" aboveAverage="0" equalAverage="0" bottom="0" percent="0" rank="0" text="" dxfId="1">
      <formula>0</formula>
    </cfRule>
  </conditionalFormatting>
  <conditionalFormatting sqref="N195:O203">
    <cfRule type="cellIs" priority="100" operator="greaterThan" aboveAverage="0" equalAverage="0" bottom="0" percent="0" rank="0" text="" dxfId="0">
      <formula>0</formula>
    </cfRule>
    <cfRule type="cellIs" priority="101" operator="lessThan" aboveAverage="0" equalAverage="0" bottom="0" percent="0" rank="0" text="" dxfId="1">
      <formula>0</formula>
    </cfRule>
  </conditionalFormatting>
  <conditionalFormatting sqref="P195:P203">
    <cfRule type="cellIs" priority="102" operator="greaterThan" aboveAverage="0" equalAverage="0" bottom="0" percent="0" rank="0" text="" dxfId="0">
      <formula>0</formula>
    </cfRule>
    <cfRule type="cellIs" priority="103" operator="lessThan" aboveAverage="0" equalAverage="0" bottom="0" percent="0" rank="0" text="" dxfId="1">
      <formula>0</formula>
    </cfRule>
  </conditionalFormatting>
  <conditionalFormatting sqref="E186">
    <cfRule type="cellIs" priority="104" operator="greaterThan" aboveAverage="0" equalAverage="0" bottom="0" percent="0" rank="0" text="" dxfId="0">
      <formula>0</formula>
    </cfRule>
    <cfRule type="cellIs" priority="105" operator="lessThan" aboveAverage="0" equalAverage="0" bottom="0" percent="0" rank="0" text="" dxfId="1">
      <formula>0</formula>
    </cfRule>
  </conditionalFormatting>
  <conditionalFormatting sqref="E190">
    <cfRule type="cellIs" priority="106" operator="greaterThan" aboveAverage="0" equalAverage="0" bottom="0" percent="0" rank="0" text="" dxfId="0">
      <formula>0</formula>
    </cfRule>
    <cfRule type="cellIs" priority="107" operator="lessThan" aboveAverage="0" equalAverage="0" bottom="0" percent="0" rank="0" text="" dxfId="1">
      <formula>0</formula>
    </cfRule>
  </conditionalFormatting>
  <conditionalFormatting sqref="E191">
    <cfRule type="cellIs" priority="108" operator="greaterThan" aboveAverage="0" equalAverage="0" bottom="0" percent="0" rank="0" text="" dxfId="0">
      <formula>0</formula>
    </cfRule>
    <cfRule type="cellIs" priority="109" operator="lessThan" aboveAverage="0" equalAverage="0" bottom="0" percent="0" rank="0" text="" dxfId="1">
      <formula>0</formula>
    </cfRule>
  </conditionalFormatting>
  <conditionalFormatting sqref="J219:J223">
    <cfRule type="cellIs" priority="110" operator="greaterThan" aboveAverage="0" equalAverage="0" bottom="0" percent="0" rank="0" text="" dxfId="0">
      <formula>0</formula>
    </cfRule>
    <cfRule type="cellIs" priority="111" operator="lessThan" aboveAverage="0" equalAverage="0" bottom="0" percent="0" rank="0" text="" dxfId="1">
      <formula>0</formula>
    </cfRule>
  </conditionalFormatting>
  <conditionalFormatting sqref="N219:O223">
    <cfRule type="cellIs" priority="112" operator="greaterThan" aboveAverage="0" equalAverage="0" bottom="0" percent="0" rank="0" text="" dxfId="0">
      <formula>0</formula>
    </cfRule>
    <cfRule type="cellIs" priority="113" operator="lessThan" aboveAverage="0" equalAverage="0" bottom="0" percent="0" rank="0" text="" dxfId="1">
      <formula>0</formula>
    </cfRule>
  </conditionalFormatting>
  <conditionalFormatting sqref="P219:P223">
    <cfRule type="cellIs" priority="114" operator="greaterThan" aboveAverage="0" equalAverage="0" bottom="0" percent="0" rank="0" text="" dxfId="0">
      <formula>0</formula>
    </cfRule>
    <cfRule type="cellIs" priority="115" operator="lessThan" aboveAverage="0" equalAverage="0" bottom="0" percent="0" rank="0" text="" dxfId="1">
      <formula>0</formula>
    </cfRule>
  </conditionalFormatting>
  <conditionalFormatting sqref="E210">
    <cfRule type="cellIs" priority="116" operator="greaterThan" aboveAverage="0" equalAverage="0" bottom="0" percent="0" rank="0" text="" dxfId="0">
      <formula>0</formula>
    </cfRule>
    <cfRule type="cellIs" priority="117" operator="lessThan" aboveAverage="0" equalAverage="0" bottom="0" percent="0" rank="0" text="" dxfId="1">
      <formula>0</formula>
    </cfRule>
  </conditionalFormatting>
  <conditionalFormatting sqref="E214">
    <cfRule type="cellIs" priority="118" operator="greaterThan" aboveAverage="0" equalAverage="0" bottom="0" percent="0" rank="0" text="" dxfId="0">
      <formula>0</formula>
    </cfRule>
    <cfRule type="cellIs" priority="119" operator="lessThan" aboveAverage="0" equalAverage="0" bottom="0" percent="0" rank="0" text="" dxfId="1">
      <formula>0</formula>
    </cfRule>
  </conditionalFormatting>
  <conditionalFormatting sqref="E215">
    <cfRule type="cellIs" priority="120" operator="greaterThan" aboveAverage="0" equalAverage="0" bottom="0" percent="0" rank="0" text="" dxfId="0">
      <formula>0</formula>
    </cfRule>
    <cfRule type="cellIs" priority="121" operator="lessThan" aboveAverage="0" equalAverage="0" bottom="0" percent="0" rank="0" text="" dxfId="1">
      <formula>0</formula>
    </cfRule>
  </conditionalFormatting>
  <conditionalFormatting sqref="J239:J249">
    <cfRule type="cellIs" priority="122" operator="greaterThan" aboveAverage="0" equalAverage="0" bottom="0" percent="0" rank="0" text="" dxfId="0">
      <formula>0</formula>
    </cfRule>
    <cfRule type="cellIs" priority="123" operator="lessThan" aboveAverage="0" equalAverage="0" bottom="0" percent="0" rank="0" text="" dxfId="1">
      <formula>0</formula>
    </cfRule>
  </conditionalFormatting>
  <conditionalFormatting sqref="N239:O249">
    <cfRule type="cellIs" priority="124" operator="greaterThan" aboveAverage="0" equalAverage="0" bottom="0" percent="0" rank="0" text="" dxfId="0">
      <formula>0</formula>
    </cfRule>
    <cfRule type="cellIs" priority="125" operator="lessThan" aboveAverage="0" equalAverage="0" bottom="0" percent="0" rank="0" text="" dxfId="1">
      <formula>0</formula>
    </cfRule>
  </conditionalFormatting>
  <conditionalFormatting sqref="P239:P249">
    <cfRule type="cellIs" priority="126" operator="greaterThan" aboveAverage="0" equalAverage="0" bottom="0" percent="0" rank="0" text="" dxfId="0">
      <formula>0</formula>
    </cfRule>
    <cfRule type="cellIs" priority="127" operator="lessThan" aboveAverage="0" equalAverage="0" bottom="0" percent="0" rank="0" text="" dxfId="1">
      <formula>0</formula>
    </cfRule>
  </conditionalFormatting>
  <conditionalFormatting sqref="E230">
    <cfRule type="cellIs" priority="128" operator="greaterThan" aboveAverage="0" equalAverage="0" bottom="0" percent="0" rank="0" text="" dxfId="0">
      <formula>0</formula>
    </cfRule>
    <cfRule type="cellIs" priority="129" operator="lessThan" aboveAverage="0" equalAverage="0" bottom="0" percent="0" rank="0" text="" dxfId="1">
      <formula>0</formula>
    </cfRule>
  </conditionalFormatting>
  <conditionalFormatting sqref="E234">
    <cfRule type="cellIs" priority="130" operator="greaterThan" aboveAverage="0" equalAverage="0" bottom="0" percent="0" rank="0" text="" dxfId="0">
      <formula>0</formula>
    </cfRule>
    <cfRule type="cellIs" priority="131" operator="lessThan" aboveAverage="0" equalAverage="0" bottom="0" percent="0" rank="0" text="" dxfId="1">
      <formula>0</formula>
    </cfRule>
  </conditionalFormatting>
  <conditionalFormatting sqref="E235">
    <cfRule type="cellIs" priority="132" operator="greaterThan" aboveAverage="0" equalAverage="0" bottom="0" percent="0" rank="0" text="" dxfId="0">
      <formula>0</formula>
    </cfRule>
    <cfRule type="cellIs" priority="133" operator="lessThan" aboveAverage="0" equalAverage="0" bottom="0" percent="0" rank="0" text="" dxfId="1">
      <formula>0</formula>
    </cfRule>
  </conditionalFormatting>
  <conditionalFormatting sqref="J265:J272">
    <cfRule type="cellIs" priority="134" operator="greaterThan" aboveAverage="0" equalAverage="0" bottom="0" percent="0" rank="0" text="" dxfId="0">
      <formula>0</formula>
    </cfRule>
    <cfRule type="cellIs" priority="135" operator="lessThan" aboveAverage="0" equalAverage="0" bottom="0" percent="0" rank="0" text="" dxfId="1">
      <formula>0</formula>
    </cfRule>
  </conditionalFormatting>
  <conditionalFormatting sqref="N265:O272">
    <cfRule type="cellIs" priority="136" operator="greaterThan" aboveAverage="0" equalAverage="0" bottom="0" percent="0" rank="0" text="" dxfId="0">
      <formula>0</formula>
    </cfRule>
    <cfRule type="cellIs" priority="137" operator="lessThan" aboveAverage="0" equalAverage="0" bottom="0" percent="0" rank="0" text="" dxfId="1">
      <formula>0</formula>
    </cfRule>
  </conditionalFormatting>
  <conditionalFormatting sqref="P265:P272">
    <cfRule type="cellIs" priority="138" operator="greaterThan" aboveAverage="0" equalAverage="0" bottom="0" percent="0" rank="0" text="" dxfId="0">
      <formula>0</formula>
    </cfRule>
    <cfRule type="cellIs" priority="139" operator="lessThan" aboveAverage="0" equalAverage="0" bottom="0" percent="0" rank="0" text="" dxfId="1">
      <formula>0</formula>
    </cfRule>
  </conditionalFormatting>
  <conditionalFormatting sqref="E256">
    <cfRule type="cellIs" priority="140" operator="greaterThan" aboveAverage="0" equalAverage="0" bottom="0" percent="0" rank="0" text="" dxfId="0">
      <formula>0</formula>
    </cfRule>
    <cfRule type="cellIs" priority="141" operator="lessThan" aboveAverage="0" equalAverage="0" bottom="0" percent="0" rank="0" text="" dxfId="1">
      <formula>0</formula>
    </cfRule>
  </conditionalFormatting>
  <conditionalFormatting sqref="E260">
    <cfRule type="cellIs" priority="142" operator="greaterThan" aboveAverage="0" equalAverage="0" bottom="0" percent="0" rank="0" text="" dxfId="0">
      <formula>0</formula>
    </cfRule>
    <cfRule type="cellIs" priority="143" operator="lessThan" aboveAverage="0" equalAverage="0" bottom="0" percent="0" rank="0" text="" dxfId="1">
      <formula>0</formula>
    </cfRule>
  </conditionalFormatting>
  <conditionalFormatting sqref="E261">
    <cfRule type="cellIs" priority="144" operator="greaterThan" aboveAverage="0" equalAverage="0" bottom="0" percent="0" rank="0" text="" dxfId="0">
      <formula>0</formula>
    </cfRule>
    <cfRule type="cellIs" priority="145" operator="lessThan" aboveAverage="0" equalAverage="0" bottom="0" percent="0" rank="0" text="" dxfId="1">
      <formula>0</formula>
    </cfRule>
  </conditionalFormatting>
  <conditionalFormatting sqref="J288:J292">
    <cfRule type="cellIs" priority="146" operator="greaterThan" aboveAverage="0" equalAverage="0" bottom="0" percent="0" rank="0" text="" dxfId="0">
      <formula>0</formula>
    </cfRule>
    <cfRule type="cellIs" priority="147" operator="lessThan" aboveAverage="0" equalAverage="0" bottom="0" percent="0" rank="0" text="" dxfId="1">
      <formula>0</formula>
    </cfRule>
  </conditionalFormatting>
  <conditionalFormatting sqref="N288:O292">
    <cfRule type="cellIs" priority="148" operator="greaterThan" aboveAverage="0" equalAverage="0" bottom="0" percent="0" rank="0" text="" dxfId="0">
      <formula>0</formula>
    </cfRule>
    <cfRule type="cellIs" priority="149" operator="lessThan" aboveAverage="0" equalAverage="0" bottom="0" percent="0" rank="0" text="" dxfId="1">
      <formula>0</formula>
    </cfRule>
  </conditionalFormatting>
  <conditionalFormatting sqref="P288:P292">
    <cfRule type="cellIs" priority="150" operator="greaterThan" aboveAverage="0" equalAverage="0" bottom="0" percent="0" rank="0" text="" dxfId="0">
      <formula>0</formula>
    </cfRule>
    <cfRule type="cellIs" priority="151" operator="lessThan" aboveAverage="0" equalAverage="0" bottom="0" percent="0" rank="0" text="" dxfId="1">
      <formula>0</formula>
    </cfRule>
  </conditionalFormatting>
  <conditionalFormatting sqref="E279">
    <cfRule type="cellIs" priority="152" operator="greaterThan" aboveAverage="0" equalAverage="0" bottom="0" percent="0" rank="0" text="" dxfId="0">
      <formula>0</formula>
    </cfRule>
    <cfRule type="cellIs" priority="153" operator="lessThan" aboveAverage="0" equalAverage="0" bottom="0" percent="0" rank="0" text="" dxfId="1">
      <formula>0</formula>
    </cfRule>
  </conditionalFormatting>
  <conditionalFormatting sqref="E283">
    <cfRule type="cellIs" priority="154" operator="greaterThan" aboveAverage="0" equalAverage="0" bottom="0" percent="0" rank="0" text="" dxfId="0">
      <formula>0</formula>
    </cfRule>
    <cfRule type="cellIs" priority="155" operator="lessThan" aboveAverage="0" equalAverage="0" bottom="0" percent="0" rank="0" text="" dxfId="1">
      <formula>0</formula>
    </cfRule>
  </conditionalFormatting>
  <conditionalFormatting sqref="E284">
    <cfRule type="cellIs" priority="156" operator="greaterThan" aboveAverage="0" equalAverage="0" bottom="0" percent="0" rank="0" text="" dxfId="0">
      <formula>0</formula>
    </cfRule>
    <cfRule type="cellIs" priority="157" operator="lessThan" aboveAverage="0" equalAverage="0" bottom="0" percent="0" rank="0" text="" dxfId="1">
      <formula>0</formula>
    </cfRule>
  </conditionalFormatting>
  <conditionalFormatting sqref="J308:J314">
    <cfRule type="cellIs" priority="158" operator="greaterThan" aboveAverage="0" equalAverage="0" bottom="0" percent="0" rank="0" text="" dxfId="0">
      <formula>0</formula>
    </cfRule>
    <cfRule type="cellIs" priority="159" operator="lessThan" aboveAverage="0" equalAverage="0" bottom="0" percent="0" rank="0" text="" dxfId="1">
      <formula>0</formula>
    </cfRule>
  </conditionalFormatting>
  <conditionalFormatting sqref="N308:O314">
    <cfRule type="cellIs" priority="160" operator="greaterThan" aboveAverage="0" equalAverage="0" bottom="0" percent="0" rank="0" text="" dxfId="0">
      <formula>0</formula>
    </cfRule>
    <cfRule type="cellIs" priority="161" operator="lessThan" aboveAverage="0" equalAverage="0" bottom="0" percent="0" rank="0" text="" dxfId="1">
      <formula>0</formula>
    </cfRule>
  </conditionalFormatting>
  <conditionalFormatting sqref="P308:P314">
    <cfRule type="cellIs" priority="162" operator="greaterThan" aboveAverage="0" equalAverage="0" bottom="0" percent="0" rank="0" text="" dxfId="0">
      <formula>0</formula>
    </cfRule>
    <cfRule type="cellIs" priority="163" operator="lessThan" aboveAverage="0" equalAverage="0" bottom="0" percent="0" rank="0" text="" dxfId="1">
      <formula>0</formula>
    </cfRule>
  </conditionalFormatting>
  <conditionalFormatting sqref="E299">
    <cfRule type="cellIs" priority="164" operator="greaterThan" aboveAverage="0" equalAverage="0" bottom="0" percent="0" rank="0" text="" dxfId="0">
      <formula>0</formula>
    </cfRule>
    <cfRule type="cellIs" priority="165" operator="lessThan" aboveAverage="0" equalAverage="0" bottom="0" percent="0" rank="0" text="" dxfId="1">
      <formula>0</formula>
    </cfRule>
  </conditionalFormatting>
  <conditionalFormatting sqref="E303">
    <cfRule type="cellIs" priority="166" operator="greaterThan" aboveAverage="0" equalAverage="0" bottom="0" percent="0" rank="0" text="" dxfId="0">
      <formula>0</formula>
    </cfRule>
    <cfRule type="cellIs" priority="167" operator="lessThan" aboveAverage="0" equalAverage="0" bottom="0" percent="0" rank="0" text="" dxfId="1">
      <formula>0</formula>
    </cfRule>
  </conditionalFormatting>
  <conditionalFormatting sqref="E304">
    <cfRule type="cellIs" priority="168" operator="greaterThan" aboveAverage="0" equalAverage="0" bottom="0" percent="0" rank="0" text="" dxfId="0">
      <formula>0</formula>
    </cfRule>
    <cfRule type="cellIs" priority="169" operator="lessThan" aboveAverage="0" equalAverage="0" bottom="0" percent="0" rank="0" text="" dxfId="1">
      <formula>0</formula>
    </cfRule>
  </conditionalFormatting>
  <conditionalFormatting sqref="J330:J334">
    <cfRule type="cellIs" priority="170" operator="greaterThan" aboveAverage="0" equalAverage="0" bottom="0" percent="0" rank="0" text="" dxfId="0">
      <formula>0</formula>
    </cfRule>
    <cfRule type="cellIs" priority="171" operator="lessThan" aboveAverage="0" equalAverage="0" bottom="0" percent="0" rank="0" text="" dxfId="1">
      <formula>0</formula>
    </cfRule>
  </conditionalFormatting>
  <conditionalFormatting sqref="N330:O334">
    <cfRule type="cellIs" priority="172" operator="greaterThan" aboveAverage="0" equalAverage="0" bottom="0" percent="0" rank="0" text="" dxfId="0">
      <formula>0</formula>
    </cfRule>
    <cfRule type="cellIs" priority="173" operator="lessThan" aboveAverage="0" equalAverage="0" bottom="0" percent="0" rank="0" text="" dxfId="1">
      <formula>0</formula>
    </cfRule>
  </conditionalFormatting>
  <conditionalFormatting sqref="P330:P334">
    <cfRule type="cellIs" priority="174" operator="greaterThan" aboveAverage="0" equalAverage="0" bottom="0" percent="0" rank="0" text="" dxfId="0">
      <formula>0</formula>
    </cfRule>
    <cfRule type="cellIs" priority="175" operator="lessThan" aboveAverage="0" equalAverage="0" bottom="0" percent="0" rank="0" text="" dxfId="1">
      <formula>0</formula>
    </cfRule>
  </conditionalFormatting>
  <conditionalFormatting sqref="E321">
    <cfRule type="cellIs" priority="176" operator="greaterThan" aboveAverage="0" equalAverage="0" bottom="0" percent="0" rank="0" text="" dxfId="0">
      <formula>0</formula>
    </cfRule>
    <cfRule type="cellIs" priority="177" operator="lessThan" aboveAverage="0" equalAverage="0" bottom="0" percent="0" rank="0" text="" dxfId="1">
      <formula>0</formula>
    </cfRule>
  </conditionalFormatting>
  <conditionalFormatting sqref="E325">
    <cfRule type="cellIs" priority="178" operator="greaterThan" aboveAverage="0" equalAverage="0" bottom="0" percent="0" rank="0" text="" dxfId="0">
      <formula>0</formula>
    </cfRule>
    <cfRule type="cellIs" priority="179" operator="lessThan" aboveAverage="0" equalAverage="0" bottom="0" percent="0" rank="0" text="" dxfId="1">
      <formula>0</formula>
    </cfRule>
  </conditionalFormatting>
  <conditionalFormatting sqref="E326">
    <cfRule type="cellIs" priority="180" operator="greaterThan" aboveAverage="0" equalAverage="0" bottom="0" percent="0" rank="0" text="" dxfId="0">
      <formula>0</formula>
    </cfRule>
    <cfRule type="cellIs" priority="181" operator="lessThan" aboveAverage="0" equalAverage="0" bottom="0" percent="0" rank="0" text="" dxfId="1">
      <formula>0</formula>
    </cfRule>
  </conditionalFormatting>
  <conditionalFormatting sqref="J350:J355">
    <cfRule type="cellIs" priority="182" operator="greaterThan" aboveAverage="0" equalAverage="0" bottom="0" percent="0" rank="0" text="" dxfId="0">
      <formula>0</formula>
    </cfRule>
    <cfRule type="cellIs" priority="183" operator="lessThan" aboveAverage="0" equalAverage="0" bottom="0" percent="0" rank="0" text="" dxfId="1">
      <formula>0</formula>
    </cfRule>
  </conditionalFormatting>
  <conditionalFormatting sqref="N350:O355">
    <cfRule type="cellIs" priority="184" operator="greaterThan" aboveAverage="0" equalAverage="0" bottom="0" percent="0" rank="0" text="" dxfId="0">
      <formula>0</formula>
    </cfRule>
    <cfRule type="cellIs" priority="185" operator="lessThan" aboveAverage="0" equalAverage="0" bottom="0" percent="0" rank="0" text="" dxfId="1">
      <formula>0</formula>
    </cfRule>
  </conditionalFormatting>
  <conditionalFormatting sqref="P350:P355">
    <cfRule type="cellIs" priority="186" operator="greaterThan" aboveAverage="0" equalAverage="0" bottom="0" percent="0" rank="0" text="" dxfId="0">
      <formula>0</formula>
    </cfRule>
    <cfRule type="cellIs" priority="187" operator="lessThan" aboveAverage="0" equalAverage="0" bottom="0" percent="0" rank="0" text="" dxfId="1">
      <formula>0</formula>
    </cfRule>
  </conditionalFormatting>
  <conditionalFormatting sqref="E341">
    <cfRule type="cellIs" priority="188" operator="greaterThan" aboveAverage="0" equalAverage="0" bottom="0" percent="0" rank="0" text="" dxfId="0">
      <formula>0</formula>
    </cfRule>
    <cfRule type="cellIs" priority="189" operator="lessThan" aboveAverage="0" equalAverage="0" bottom="0" percent="0" rank="0" text="" dxfId="1">
      <formula>0</formula>
    </cfRule>
  </conditionalFormatting>
  <conditionalFormatting sqref="E345">
    <cfRule type="cellIs" priority="190" operator="greaterThan" aboveAverage="0" equalAverage="0" bottom="0" percent="0" rank="0" text="" dxfId="0">
      <formula>0</formula>
    </cfRule>
    <cfRule type="cellIs" priority="191" operator="lessThan" aboveAverage="0" equalAverage="0" bottom="0" percent="0" rank="0" text="" dxfId="1">
      <formula>0</formula>
    </cfRule>
  </conditionalFormatting>
  <conditionalFormatting sqref="E346">
    <cfRule type="cellIs" priority="192" operator="greaterThan" aboveAverage="0" equalAverage="0" bottom="0" percent="0" rank="0" text="" dxfId="0">
      <formula>0</formula>
    </cfRule>
    <cfRule type="cellIs" priority="193" operator="lessThan" aboveAverage="0" equalAverage="0" bottom="0" percent="0" rank="0" text="" dxfId="1">
      <formula>0</formula>
    </cfRule>
  </conditionalFormatting>
  <conditionalFormatting sqref="J371:J375">
    <cfRule type="cellIs" priority="194" operator="greaterThan" aboveAverage="0" equalAverage="0" bottom="0" percent="0" rank="0" text="" dxfId="0">
      <formula>0</formula>
    </cfRule>
    <cfRule type="cellIs" priority="195" operator="lessThan" aboveAverage="0" equalAverage="0" bottom="0" percent="0" rank="0" text="" dxfId="1">
      <formula>0</formula>
    </cfRule>
  </conditionalFormatting>
  <conditionalFormatting sqref="N371:O375">
    <cfRule type="cellIs" priority="196" operator="greaterThan" aboveAverage="0" equalAverage="0" bottom="0" percent="0" rank="0" text="" dxfId="0">
      <formula>0</formula>
    </cfRule>
    <cfRule type="cellIs" priority="197" operator="lessThan" aboveAverage="0" equalAverage="0" bottom="0" percent="0" rank="0" text="" dxfId="1">
      <formula>0</formula>
    </cfRule>
  </conditionalFormatting>
  <conditionalFormatting sqref="P371:P375">
    <cfRule type="cellIs" priority="198" operator="greaterThan" aboveAverage="0" equalAverage="0" bottom="0" percent="0" rank="0" text="" dxfId="0">
      <formula>0</formula>
    </cfRule>
    <cfRule type="cellIs" priority="199" operator="lessThan" aboveAverage="0" equalAverage="0" bottom="0" percent="0" rank="0" text="" dxfId="1">
      <formula>0</formula>
    </cfRule>
  </conditionalFormatting>
  <conditionalFormatting sqref="E362">
    <cfRule type="cellIs" priority="200" operator="greaterThan" aboveAverage="0" equalAverage="0" bottom="0" percent="0" rank="0" text="" dxfId="0">
      <formula>0</formula>
    </cfRule>
    <cfRule type="cellIs" priority="201" operator="lessThan" aboveAverage="0" equalAverage="0" bottom="0" percent="0" rank="0" text="" dxfId="1">
      <formula>0</formula>
    </cfRule>
  </conditionalFormatting>
  <conditionalFormatting sqref="E366">
    <cfRule type="cellIs" priority="202" operator="greaterThan" aboveAverage="0" equalAverage="0" bottom="0" percent="0" rank="0" text="" dxfId="0">
      <formula>0</formula>
    </cfRule>
    <cfRule type="cellIs" priority="203" operator="lessThan" aboveAverage="0" equalAverage="0" bottom="0" percent="0" rank="0" text="" dxfId="1">
      <formula>0</formula>
    </cfRule>
  </conditionalFormatting>
  <conditionalFormatting sqref="E367">
    <cfRule type="cellIs" priority="204" operator="greaterThan" aboveAverage="0" equalAverage="0" bottom="0" percent="0" rank="0" text="" dxfId="0">
      <formula>0</formula>
    </cfRule>
    <cfRule type="cellIs" priority="205" operator="lessThan" aboveAverage="0" equalAverage="0" bottom="0" percent="0" rank="0" text="" dxfId="1">
      <formula>0</formula>
    </cfRule>
  </conditionalFormatting>
  <conditionalFormatting sqref="J391:J400">
    <cfRule type="cellIs" priority="206" operator="greaterThan" aboveAverage="0" equalAverage="0" bottom="0" percent="0" rank="0" text="" dxfId="0">
      <formula>0</formula>
    </cfRule>
    <cfRule type="cellIs" priority="207" operator="lessThan" aboveAverage="0" equalAverage="0" bottom="0" percent="0" rank="0" text="" dxfId="1">
      <formula>0</formula>
    </cfRule>
  </conditionalFormatting>
  <conditionalFormatting sqref="N391:O400">
    <cfRule type="cellIs" priority="208" operator="greaterThan" aboveAverage="0" equalAverage="0" bottom="0" percent="0" rank="0" text="" dxfId="0">
      <formula>0</formula>
    </cfRule>
    <cfRule type="cellIs" priority="209" operator="lessThan" aboveAverage="0" equalAverage="0" bottom="0" percent="0" rank="0" text="" dxfId="1">
      <formula>0</formula>
    </cfRule>
  </conditionalFormatting>
  <conditionalFormatting sqref="P391:P400">
    <cfRule type="cellIs" priority="210" operator="greaterThan" aboveAverage="0" equalAverage="0" bottom="0" percent="0" rank="0" text="" dxfId="0">
      <formula>0</formula>
    </cfRule>
    <cfRule type="cellIs" priority="211" operator="lessThan" aboveAverage="0" equalAverage="0" bottom="0" percent="0" rank="0" text="" dxfId="1">
      <formula>0</formula>
    </cfRule>
  </conditionalFormatting>
  <conditionalFormatting sqref="E382">
    <cfRule type="cellIs" priority="212" operator="greaterThan" aboveAverage="0" equalAverage="0" bottom="0" percent="0" rank="0" text="" dxfId="0">
      <formula>0</formula>
    </cfRule>
    <cfRule type="cellIs" priority="213" operator="lessThan" aboveAverage="0" equalAverage="0" bottom="0" percent="0" rank="0" text="" dxfId="1">
      <formula>0</formula>
    </cfRule>
  </conditionalFormatting>
  <conditionalFormatting sqref="E386">
    <cfRule type="cellIs" priority="214" operator="greaterThan" aboveAverage="0" equalAverage="0" bottom="0" percent="0" rank="0" text="" dxfId="0">
      <formula>0</formula>
    </cfRule>
    <cfRule type="cellIs" priority="215" operator="lessThan" aboveAverage="0" equalAverage="0" bottom="0" percent="0" rank="0" text="" dxfId="1">
      <formula>0</formula>
    </cfRule>
  </conditionalFormatting>
  <conditionalFormatting sqref="E387">
    <cfRule type="cellIs" priority="216" operator="greaterThan" aboveAverage="0" equalAverage="0" bottom="0" percent="0" rank="0" text="" dxfId="0">
      <formula>0</formula>
    </cfRule>
    <cfRule type="cellIs" priority="217" operator="lessThan" aboveAverage="0" equalAverage="0" bottom="0" percent="0" rank="0" text="" dxfId="1">
      <formula>0</formula>
    </cfRule>
  </conditionalFormatting>
  <conditionalFormatting sqref="J416:J418">
    <cfRule type="cellIs" priority="218" operator="greaterThan" aboveAverage="0" equalAverage="0" bottom="0" percent="0" rank="0" text="" dxfId="0">
      <formula>0</formula>
    </cfRule>
    <cfRule type="cellIs" priority="219" operator="lessThan" aboveAverage="0" equalAverage="0" bottom="0" percent="0" rank="0" text="" dxfId="1">
      <formula>0</formula>
    </cfRule>
  </conditionalFormatting>
  <conditionalFormatting sqref="N416:O418">
    <cfRule type="cellIs" priority="220" operator="greaterThan" aboveAverage="0" equalAverage="0" bottom="0" percent="0" rank="0" text="" dxfId="0">
      <formula>0</formula>
    </cfRule>
    <cfRule type="cellIs" priority="221" operator="lessThan" aboveAverage="0" equalAverage="0" bottom="0" percent="0" rank="0" text="" dxfId="1">
      <formula>0</formula>
    </cfRule>
  </conditionalFormatting>
  <conditionalFormatting sqref="P416:P418">
    <cfRule type="cellIs" priority="222" operator="greaterThan" aboveAverage="0" equalAverage="0" bottom="0" percent="0" rank="0" text="" dxfId="0">
      <formula>0</formula>
    </cfRule>
    <cfRule type="cellIs" priority="223" operator="lessThan" aboveAverage="0" equalAverage="0" bottom="0" percent="0" rank="0" text="" dxfId="1">
      <formula>0</formula>
    </cfRule>
  </conditionalFormatting>
  <conditionalFormatting sqref="E407">
    <cfRule type="cellIs" priority="224" operator="greaterThan" aboveAverage="0" equalAverage="0" bottom="0" percent="0" rank="0" text="" dxfId="0">
      <formula>0</formula>
    </cfRule>
    <cfRule type="cellIs" priority="225" operator="lessThan" aboveAverage="0" equalAverage="0" bottom="0" percent="0" rank="0" text="" dxfId="1">
      <formula>0</formula>
    </cfRule>
  </conditionalFormatting>
  <conditionalFormatting sqref="E411">
    <cfRule type="cellIs" priority="226" operator="greaterThan" aboveAverage="0" equalAverage="0" bottom="0" percent="0" rank="0" text="" dxfId="0">
      <formula>0</formula>
    </cfRule>
    <cfRule type="cellIs" priority="227" operator="lessThan" aboveAverage="0" equalAverage="0" bottom="0" percent="0" rank="0" text="" dxfId="1">
      <formula>0</formula>
    </cfRule>
  </conditionalFormatting>
  <conditionalFormatting sqref="E412">
    <cfRule type="cellIs" priority="228" operator="greaterThan" aboveAverage="0" equalAverage="0" bottom="0" percent="0" rank="0" text="" dxfId="0">
      <formula>0</formula>
    </cfRule>
    <cfRule type="cellIs" priority="229" operator="lessThan" aboveAverage="0" equalAverage="0" bottom="0" percent="0" rank="0" text="" dxfId="1">
      <formula>0</formula>
    </cfRule>
  </conditionalFormatting>
  <conditionalFormatting sqref="J434:J442">
    <cfRule type="cellIs" priority="230" operator="greaterThan" aboveAverage="0" equalAverage="0" bottom="0" percent="0" rank="0" text="" dxfId="0">
      <formula>0</formula>
    </cfRule>
    <cfRule type="cellIs" priority="231" operator="lessThan" aboveAverage="0" equalAverage="0" bottom="0" percent="0" rank="0" text="" dxfId="1">
      <formula>0</formula>
    </cfRule>
  </conditionalFormatting>
  <conditionalFormatting sqref="N434:O442">
    <cfRule type="cellIs" priority="232" operator="greaterThan" aboveAverage="0" equalAverage="0" bottom="0" percent="0" rank="0" text="" dxfId="0">
      <formula>0</formula>
    </cfRule>
    <cfRule type="cellIs" priority="233" operator="lessThan" aboveAverage="0" equalAverage="0" bottom="0" percent="0" rank="0" text="" dxfId="1">
      <formula>0</formula>
    </cfRule>
  </conditionalFormatting>
  <conditionalFormatting sqref="P434:P442">
    <cfRule type="cellIs" priority="234" operator="greaterThan" aboveAverage="0" equalAverage="0" bottom="0" percent="0" rank="0" text="" dxfId="0">
      <formula>0</formula>
    </cfRule>
    <cfRule type="cellIs" priority="235" operator="lessThan" aboveAverage="0" equalAverage="0" bottom="0" percent="0" rank="0" text="" dxfId="1">
      <formula>0</formula>
    </cfRule>
  </conditionalFormatting>
  <conditionalFormatting sqref="E425">
    <cfRule type="cellIs" priority="236" operator="greaterThan" aboveAverage="0" equalAverage="0" bottom="0" percent="0" rank="0" text="" dxfId="0">
      <formula>0</formula>
    </cfRule>
    <cfRule type="cellIs" priority="237" operator="lessThan" aboveAverage="0" equalAverage="0" bottom="0" percent="0" rank="0" text="" dxfId="1">
      <formula>0</formula>
    </cfRule>
  </conditionalFormatting>
  <conditionalFormatting sqref="E429">
    <cfRule type="cellIs" priority="238" operator="greaterThan" aboveAverage="0" equalAverage="0" bottom="0" percent="0" rank="0" text="" dxfId="0">
      <formula>0</formula>
    </cfRule>
    <cfRule type="cellIs" priority="239" operator="lessThan" aboveAverage="0" equalAverage="0" bottom="0" percent="0" rank="0" text="" dxfId="1">
      <formula>0</formula>
    </cfRule>
  </conditionalFormatting>
  <conditionalFormatting sqref="E430">
    <cfRule type="cellIs" priority="240" operator="greaterThan" aboveAverage="0" equalAverage="0" bottom="0" percent="0" rank="0" text="" dxfId="0">
      <formula>0</formula>
    </cfRule>
    <cfRule type="cellIs" priority="241" operator="lessThan" aboveAverage="0" equalAverage="0" bottom="0" percent="0" rank="0" text="" dxfId="1">
      <formula>0</formula>
    </cfRule>
  </conditionalFormatting>
  <conditionalFormatting sqref="J458:J468">
    <cfRule type="cellIs" priority="242" operator="greaterThan" aboveAverage="0" equalAverage="0" bottom="0" percent="0" rank="0" text="" dxfId="0">
      <formula>0</formula>
    </cfRule>
    <cfRule type="cellIs" priority="243" operator="lessThan" aboveAverage="0" equalAverage="0" bottom="0" percent="0" rank="0" text="" dxfId="1">
      <formula>0</formula>
    </cfRule>
  </conditionalFormatting>
  <conditionalFormatting sqref="N458:O468">
    <cfRule type="cellIs" priority="244" operator="greaterThan" aboveAverage="0" equalAverage="0" bottom="0" percent="0" rank="0" text="" dxfId="0">
      <formula>0</formula>
    </cfRule>
    <cfRule type="cellIs" priority="245" operator="lessThan" aboveAverage="0" equalAverage="0" bottom="0" percent="0" rank="0" text="" dxfId="1">
      <formula>0</formula>
    </cfRule>
  </conditionalFormatting>
  <conditionalFormatting sqref="P458:P468">
    <cfRule type="cellIs" priority="246" operator="greaterThan" aboveAverage="0" equalAverage="0" bottom="0" percent="0" rank="0" text="" dxfId="0">
      <formula>0</formula>
    </cfRule>
    <cfRule type="cellIs" priority="247" operator="lessThan" aboveAverage="0" equalAverage="0" bottom="0" percent="0" rank="0" text="" dxfId="1">
      <formula>0</formula>
    </cfRule>
  </conditionalFormatting>
  <conditionalFormatting sqref="E449">
    <cfRule type="cellIs" priority="248" operator="greaterThan" aboveAverage="0" equalAverage="0" bottom="0" percent="0" rank="0" text="" dxfId="0">
      <formula>0</formula>
    </cfRule>
    <cfRule type="cellIs" priority="249" operator="lessThan" aboveAverage="0" equalAverage="0" bottom="0" percent="0" rank="0" text="" dxfId="1">
      <formula>0</formula>
    </cfRule>
  </conditionalFormatting>
  <conditionalFormatting sqref="E453">
    <cfRule type="cellIs" priority="250" operator="greaterThan" aboveAverage="0" equalAverage="0" bottom="0" percent="0" rank="0" text="" dxfId="0">
      <formula>0</formula>
    </cfRule>
    <cfRule type="cellIs" priority="251" operator="lessThan" aboveAverage="0" equalAverage="0" bottom="0" percent="0" rank="0" text="" dxfId="1">
      <formula>0</formula>
    </cfRule>
  </conditionalFormatting>
  <conditionalFormatting sqref="E454">
    <cfRule type="cellIs" priority="252" operator="greaterThan" aboveAverage="0" equalAverage="0" bottom="0" percent="0" rank="0" text="" dxfId="0">
      <formula>0</formula>
    </cfRule>
    <cfRule type="cellIs" priority="253" operator="lessThan" aboveAverage="0" equalAverage="0" bottom="0" percent="0" rank="0" text="" dxfId="1">
      <formula>0</formula>
    </cfRule>
  </conditionalFormatting>
  <conditionalFormatting sqref="J484:J495">
    <cfRule type="cellIs" priority="254" operator="greaterThan" aboveAverage="0" equalAverage="0" bottom="0" percent="0" rank="0" text="" dxfId="0">
      <formula>0</formula>
    </cfRule>
    <cfRule type="cellIs" priority="255" operator="lessThan" aboveAverage="0" equalAverage="0" bottom="0" percent="0" rank="0" text="" dxfId="1">
      <formula>0</formula>
    </cfRule>
  </conditionalFormatting>
  <conditionalFormatting sqref="N484:O495">
    <cfRule type="cellIs" priority="256" operator="greaterThan" aboveAverage="0" equalAverage="0" bottom="0" percent="0" rank="0" text="" dxfId="0">
      <formula>0</formula>
    </cfRule>
    <cfRule type="cellIs" priority="257" operator="lessThan" aboveAverage="0" equalAverage="0" bottom="0" percent="0" rank="0" text="" dxfId="1">
      <formula>0</formula>
    </cfRule>
  </conditionalFormatting>
  <conditionalFormatting sqref="P484:P495">
    <cfRule type="cellIs" priority="258" operator="greaterThan" aboveAverage="0" equalAverage="0" bottom="0" percent="0" rank="0" text="" dxfId="0">
      <formula>0</formula>
    </cfRule>
    <cfRule type="cellIs" priority="259" operator="lessThan" aboveAverage="0" equalAverage="0" bottom="0" percent="0" rank="0" text="" dxfId="1">
      <formula>0</formula>
    </cfRule>
  </conditionalFormatting>
  <conditionalFormatting sqref="E475">
    <cfRule type="cellIs" priority="260" operator="greaterThan" aboveAverage="0" equalAverage="0" bottom="0" percent="0" rank="0" text="" dxfId="0">
      <formula>0</formula>
    </cfRule>
    <cfRule type="cellIs" priority="261" operator="lessThan" aboveAverage="0" equalAverage="0" bottom="0" percent="0" rank="0" text="" dxfId="1">
      <formula>0</formula>
    </cfRule>
  </conditionalFormatting>
  <conditionalFormatting sqref="E479">
    <cfRule type="cellIs" priority="262" operator="greaterThan" aboveAverage="0" equalAverage="0" bottom="0" percent="0" rank="0" text="" dxfId="0">
      <formula>0</formula>
    </cfRule>
    <cfRule type="cellIs" priority="263" operator="lessThan" aboveAverage="0" equalAverage="0" bottom="0" percent="0" rank="0" text="" dxfId="1">
      <formula>0</formula>
    </cfRule>
  </conditionalFormatting>
  <conditionalFormatting sqref="E480">
    <cfRule type="cellIs" priority="264" operator="greaterThan" aboveAverage="0" equalAverage="0" bottom="0" percent="0" rank="0" text="" dxfId="0">
      <formula>0</formula>
    </cfRule>
    <cfRule type="cellIs" priority="265" operator="lessThan" aboveAverage="0" equalAverage="0" bottom="0" percent="0" rank="0" text="" dxfId="1">
      <formula>0</formula>
    </cfRule>
  </conditionalFormatting>
  <conditionalFormatting sqref="J511:J521">
    <cfRule type="cellIs" priority="266" operator="greaterThan" aboveAverage="0" equalAverage="0" bottom="0" percent="0" rank="0" text="" dxfId="0">
      <formula>0</formula>
    </cfRule>
    <cfRule type="cellIs" priority="267" operator="lessThan" aboveAverage="0" equalAverage="0" bottom="0" percent="0" rank="0" text="" dxfId="1">
      <formula>0</formula>
    </cfRule>
  </conditionalFormatting>
  <conditionalFormatting sqref="N511:O521">
    <cfRule type="cellIs" priority="268" operator="greaterThan" aboveAverage="0" equalAverage="0" bottom="0" percent="0" rank="0" text="" dxfId="0">
      <formula>0</formula>
    </cfRule>
    <cfRule type="cellIs" priority="269" operator="lessThan" aboveAverage="0" equalAverage="0" bottom="0" percent="0" rank="0" text="" dxfId="1">
      <formula>0</formula>
    </cfRule>
  </conditionalFormatting>
  <conditionalFormatting sqref="P511:P521">
    <cfRule type="cellIs" priority="270" operator="greaterThan" aboveAverage="0" equalAverage="0" bottom="0" percent="0" rank="0" text="" dxfId="0">
      <formula>0</formula>
    </cfRule>
    <cfRule type="cellIs" priority="271" operator="lessThan" aboveAverage="0" equalAverage="0" bottom="0" percent="0" rank="0" text="" dxfId="1">
      <formula>0</formula>
    </cfRule>
  </conditionalFormatting>
  <conditionalFormatting sqref="E502">
    <cfRule type="cellIs" priority="272" operator="greaterThan" aboveAverage="0" equalAverage="0" bottom="0" percent="0" rank="0" text="" dxfId="0">
      <formula>0</formula>
    </cfRule>
    <cfRule type="cellIs" priority="273" operator="lessThan" aboveAverage="0" equalAverage="0" bottom="0" percent="0" rank="0" text="" dxfId="1">
      <formula>0</formula>
    </cfRule>
  </conditionalFormatting>
  <conditionalFormatting sqref="E506">
    <cfRule type="cellIs" priority="274" operator="greaterThan" aboveAverage="0" equalAverage="0" bottom="0" percent="0" rank="0" text="" dxfId="0">
      <formula>0</formula>
    </cfRule>
    <cfRule type="cellIs" priority="275" operator="lessThan" aboveAverage="0" equalAverage="0" bottom="0" percent="0" rank="0" text="" dxfId="1">
      <formula>0</formula>
    </cfRule>
  </conditionalFormatting>
  <conditionalFormatting sqref="E507">
    <cfRule type="cellIs" priority="276" operator="greaterThan" aboveAverage="0" equalAverage="0" bottom="0" percent="0" rank="0" text="" dxfId="0">
      <formula>0</formula>
    </cfRule>
    <cfRule type="cellIs" priority="277" operator="lessThan" aboveAverage="0" equalAverage="0" bottom="0" percent="0" rank="0" text="" dxfId="1">
      <formula>0</formula>
    </cfRule>
  </conditionalFormatting>
  <conditionalFormatting sqref="J537:J542">
    <cfRule type="cellIs" priority="278" operator="greaterThan" aboveAverage="0" equalAverage="0" bottom="0" percent="0" rank="0" text="" dxfId="0">
      <formula>0</formula>
    </cfRule>
    <cfRule type="cellIs" priority="279" operator="lessThan" aboveAverage="0" equalAverage="0" bottom="0" percent="0" rank="0" text="" dxfId="1">
      <formula>0</formula>
    </cfRule>
  </conditionalFormatting>
  <conditionalFormatting sqref="N537:O542">
    <cfRule type="cellIs" priority="280" operator="greaterThan" aboveAverage="0" equalAverage="0" bottom="0" percent="0" rank="0" text="" dxfId="0">
      <formula>0</formula>
    </cfRule>
    <cfRule type="cellIs" priority="281" operator="lessThan" aboveAverage="0" equalAverage="0" bottom="0" percent="0" rank="0" text="" dxfId="1">
      <formula>0</formula>
    </cfRule>
  </conditionalFormatting>
  <conditionalFormatting sqref="P537:P542">
    <cfRule type="cellIs" priority="282" operator="greaterThan" aboveAverage="0" equalAverage="0" bottom="0" percent="0" rank="0" text="" dxfId="0">
      <formula>0</formula>
    </cfRule>
    <cfRule type="cellIs" priority="283" operator="lessThan" aboveAverage="0" equalAverage="0" bottom="0" percent="0" rank="0" text="" dxfId="1">
      <formula>0</formula>
    </cfRule>
  </conditionalFormatting>
  <conditionalFormatting sqref="E528">
    <cfRule type="cellIs" priority="284" operator="greaterThan" aboveAverage="0" equalAverage="0" bottom="0" percent="0" rank="0" text="" dxfId="0">
      <formula>0</formula>
    </cfRule>
    <cfRule type="cellIs" priority="285" operator="lessThan" aboveAverage="0" equalAverage="0" bottom="0" percent="0" rank="0" text="" dxfId="1">
      <formula>0</formula>
    </cfRule>
  </conditionalFormatting>
  <conditionalFormatting sqref="E532">
    <cfRule type="cellIs" priority="286" operator="greaterThan" aboveAverage="0" equalAverage="0" bottom="0" percent="0" rank="0" text="" dxfId="0">
      <formula>0</formula>
    </cfRule>
    <cfRule type="cellIs" priority="287" operator="lessThan" aboveAverage="0" equalAverage="0" bottom="0" percent="0" rank="0" text="" dxfId="1">
      <formula>0</formula>
    </cfRule>
  </conditionalFormatting>
  <conditionalFormatting sqref="E533">
    <cfRule type="cellIs" priority="288" operator="greaterThan" aboveAverage="0" equalAverage="0" bottom="0" percent="0" rank="0" text="" dxfId="0">
      <formula>0</formula>
    </cfRule>
    <cfRule type="cellIs" priority="289" operator="lessThan" aboveAverage="0" equalAverage="0" bottom="0" percent="0" rank="0" text="" dxfId="1">
      <formula>0</formula>
    </cfRule>
  </conditionalFormatting>
  <conditionalFormatting sqref="J558:J563">
    <cfRule type="cellIs" priority="290" operator="greaterThan" aboveAverage="0" equalAverage="0" bottom="0" percent="0" rank="0" text="" dxfId="0">
      <formula>0</formula>
    </cfRule>
    <cfRule type="cellIs" priority="291" operator="lessThan" aboveAverage="0" equalAverage="0" bottom="0" percent="0" rank="0" text="" dxfId="1">
      <formula>0</formula>
    </cfRule>
  </conditionalFormatting>
  <conditionalFormatting sqref="N558:O563">
    <cfRule type="cellIs" priority="292" operator="greaterThan" aboveAverage="0" equalAverage="0" bottom="0" percent="0" rank="0" text="" dxfId="0">
      <formula>0</formula>
    </cfRule>
    <cfRule type="cellIs" priority="293" operator="lessThan" aboveAverage="0" equalAverage="0" bottom="0" percent="0" rank="0" text="" dxfId="1">
      <formula>0</formula>
    </cfRule>
  </conditionalFormatting>
  <conditionalFormatting sqref="P558:P563">
    <cfRule type="cellIs" priority="294" operator="greaterThan" aboveAverage="0" equalAverage="0" bottom="0" percent="0" rank="0" text="" dxfId="0">
      <formula>0</formula>
    </cfRule>
    <cfRule type="cellIs" priority="295" operator="lessThan" aboveAverage="0" equalAverage="0" bottom="0" percent="0" rank="0" text="" dxfId="1">
      <formula>0</formula>
    </cfRule>
  </conditionalFormatting>
  <conditionalFormatting sqref="E549">
    <cfRule type="cellIs" priority="296" operator="greaterThan" aboveAverage="0" equalAverage="0" bottom="0" percent="0" rank="0" text="" dxfId="0">
      <formula>0</formula>
    </cfRule>
    <cfRule type="cellIs" priority="297" operator="lessThan" aboveAverage="0" equalAverage="0" bottom="0" percent="0" rank="0" text="" dxfId="1">
      <formula>0</formula>
    </cfRule>
  </conditionalFormatting>
  <conditionalFormatting sqref="E553">
    <cfRule type="cellIs" priority="298" operator="greaterThan" aboveAverage="0" equalAverage="0" bottom="0" percent="0" rank="0" text="" dxfId="0">
      <formula>0</formula>
    </cfRule>
    <cfRule type="cellIs" priority="299" operator="lessThan" aboveAverage="0" equalAverage="0" bottom="0" percent="0" rank="0" text="" dxfId="1">
      <formula>0</formula>
    </cfRule>
  </conditionalFormatting>
  <conditionalFormatting sqref="E554">
    <cfRule type="cellIs" priority="300" operator="greaterThan" aboveAverage="0" equalAverage="0" bottom="0" percent="0" rank="0" text="" dxfId="0">
      <formula>0</formula>
    </cfRule>
    <cfRule type="cellIs" priority="301" operator="lessThan" aboveAverage="0" equalAverage="0" bottom="0" percent="0" rank="0" text="" dxfId="1">
      <formula>0</formula>
    </cfRule>
  </conditionalFormatting>
  <conditionalFormatting sqref="J579:J585">
    <cfRule type="cellIs" priority="302" operator="greaterThan" aboveAverage="0" equalAverage="0" bottom="0" percent="0" rank="0" text="" dxfId="0">
      <formula>0</formula>
    </cfRule>
    <cfRule type="cellIs" priority="303" operator="lessThan" aboveAverage="0" equalAverage="0" bottom="0" percent="0" rank="0" text="" dxfId="1">
      <formula>0</formula>
    </cfRule>
  </conditionalFormatting>
  <conditionalFormatting sqref="N579:O585">
    <cfRule type="cellIs" priority="304" operator="greaterThan" aboveAverage="0" equalAverage="0" bottom="0" percent="0" rank="0" text="" dxfId="0">
      <formula>0</formula>
    </cfRule>
    <cfRule type="cellIs" priority="305" operator="lessThan" aboveAverage="0" equalAverage="0" bottom="0" percent="0" rank="0" text="" dxfId="1">
      <formula>0</formula>
    </cfRule>
  </conditionalFormatting>
  <conditionalFormatting sqref="P579:P585">
    <cfRule type="cellIs" priority="306" operator="greaterThan" aboveAverage="0" equalAverage="0" bottom="0" percent="0" rank="0" text="" dxfId="0">
      <formula>0</formula>
    </cfRule>
    <cfRule type="cellIs" priority="307" operator="lessThan" aboveAverage="0" equalAverage="0" bottom="0" percent="0" rank="0" text="" dxfId="1">
      <formula>0</formula>
    </cfRule>
  </conditionalFormatting>
  <conditionalFormatting sqref="E570">
    <cfRule type="cellIs" priority="308" operator="greaterThan" aboveAverage="0" equalAverage="0" bottom="0" percent="0" rank="0" text="" dxfId="0">
      <formula>0</formula>
    </cfRule>
    <cfRule type="cellIs" priority="309" operator="lessThan" aboveAverage="0" equalAverage="0" bottom="0" percent="0" rank="0" text="" dxfId="1">
      <formula>0</formula>
    </cfRule>
  </conditionalFormatting>
  <conditionalFormatting sqref="E574">
    <cfRule type="cellIs" priority="310" operator="greaterThan" aboveAverage="0" equalAverage="0" bottom="0" percent="0" rank="0" text="" dxfId="0">
      <formula>0</formula>
    </cfRule>
    <cfRule type="cellIs" priority="311" operator="lessThan" aboveAverage="0" equalAverage="0" bottom="0" percent="0" rank="0" text="" dxfId="1">
      <formula>0</formula>
    </cfRule>
  </conditionalFormatting>
  <conditionalFormatting sqref="E575">
    <cfRule type="cellIs" priority="312" operator="greaterThan" aboveAverage="0" equalAverage="0" bottom="0" percent="0" rank="0" text="" dxfId="0">
      <formula>0</formula>
    </cfRule>
    <cfRule type="cellIs" priority="313" operator="lessThan" aboveAverage="0" equalAverage="0" bottom="0" percent="0" rank="0" text="" dxfId="1">
      <formula>0</formula>
    </cfRule>
  </conditionalFormatting>
  <conditionalFormatting sqref="J601:J605">
    <cfRule type="cellIs" priority="314" operator="greaterThan" aboveAverage="0" equalAverage="0" bottom="0" percent="0" rank="0" text="" dxfId="0">
      <formula>0</formula>
    </cfRule>
    <cfRule type="cellIs" priority="315" operator="lessThan" aboveAverage="0" equalAverage="0" bottom="0" percent="0" rank="0" text="" dxfId="1">
      <formula>0</formula>
    </cfRule>
  </conditionalFormatting>
  <conditionalFormatting sqref="N601:O605">
    <cfRule type="cellIs" priority="316" operator="greaterThan" aboveAverage="0" equalAverage="0" bottom="0" percent="0" rank="0" text="" dxfId="0">
      <formula>0</formula>
    </cfRule>
    <cfRule type="cellIs" priority="317" operator="lessThan" aboveAverage="0" equalAverage="0" bottom="0" percent="0" rank="0" text="" dxfId="1">
      <formula>0</formula>
    </cfRule>
  </conditionalFormatting>
  <conditionalFormatting sqref="P601:P605">
    <cfRule type="cellIs" priority="318" operator="greaterThan" aboveAverage="0" equalAverage="0" bottom="0" percent="0" rank="0" text="" dxfId="0">
      <formula>0</formula>
    </cfRule>
    <cfRule type="cellIs" priority="319" operator="lessThan" aboveAverage="0" equalAverage="0" bottom="0" percent="0" rank="0" text="" dxfId="1">
      <formula>0</formula>
    </cfRule>
  </conditionalFormatting>
  <conditionalFormatting sqref="E592">
    <cfRule type="cellIs" priority="320" operator="greaterThan" aboveAverage="0" equalAverage="0" bottom="0" percent="0" rank="0" text="" dxfId="0">
      <formula>0</formula>
    </cfRule>
    <cfRule type="cellIs" priority="321" operator="lessThan" aboveAverage="0" equalAverage="0" bottom="0" percent="0" rank="0" text="" dxfId="1">
      <formula>0</formula>
    </cfRule>
  </conditionalFormatting>
  <conditionalFormatting sqref="E596">
    <cfRule type="cellIs" priority="322" operator="greaterThan" aboveAverage="0" equalAverage="0" bottom="0" percent="0" rank="0" text="" dxfId="0">
      <formula>0</formula>
    </cfRule>
    <cfRule type="cellIs" priority="323" operator="lessThan" aboveAverage="0" equalAverage="0" bottom="0" percent="0" rank="0" text="" dxfId="1">
      <formula>0</formula>
    </cfRule>
  </conditionalFormatting>
  <conditionalFormatting sqref="E597">
    <cfRule type="cellIs" priority="324" operator="greaterThan" aboveAverage="0" equalAverage="0" bottom="0" percent="0" rank="0" text="" dxfId="0">
      <formula>0</formula>
    </cfRule>
    <cfRule type="cellIs" priority="325" operator="lessThan" aboveAverage="0" equalAverage="0" bottom="0" percent="0" rank="0" text="" dxfId="1">
      <formula>0</formula>
    </cfRule>
  </conditionalFormatting>
  <conditionalFormatting sqref="J621:J625">
    <cfRule type="cellIs" priority="326" operator="greaterThan" aboveAverage="0" equalAverage="0" bottom="0" percent="0" rank="0" text="" dxfId="0">
      <formula>0</formula>
    </cfRule>
    <cfRule type="cellIs" priority="327" operator="lessThan" aboveAverage="0" equalAverage="0" bottom="0" percent="0" rank="0" text="" dxfId="1">
      <formula>0</formula>
    </cfRule>
  </conditionalFormatting>
  <conditionalFormatting sqref="N621:O625">
    <cfRule type="cellIs" priority="328" operator="greaterThan" aboveAverage="0" equalAverage="0" bottom="0" percent="0" rank="0" text="" dxfId="0">
      <formula>0</formula>
    </cfRule>
    <cfRule type="cellIs" priority="329" operator="lessThan" aboveAverage="0" equalAverage="0" bottom="0" percent="0" rank="0" text="" dxfId="1">
      <formula>0</formula>
    </cfRule>
  </conditionalFormatting>
  <conditionalFormatting sqref="P621:P625">
    <cfRule type="cellIs" priority="330" operator="greaterThan" aboveAverage="0" equalAverage="0" bottom="0" percent="0" rank="0" text="" dxfId="0">
      <formula>0</formula>
    </cfRule>
    <cfRule type="cellIs" priority="331" operator="lessThan" aboveAverage="0" equalAverage="0" bottom="0" percent="0" rank="0" text="" dxfId="1">
      <formula>0</formula>
    </cfRule>
  </conditionalFormatting>
  <conditionalFormatting sqref="E612">
    <cfRule type="cellIs" priority="332" operator="greaterThan" aboveAverage="0" equalAverage="0" bottom="0" percent="0" rank="0" text="" dxfId="0">
      <formula>0</formula>
    </cfRule>
    <cfRule type="cellIs" priority="333" operator="lessThan" aboveAverage="0" equalAverage="0" bottom="0" percent="0" rank="0" text="" dxfId="1">
      <formula>0</formula>
    </cfRule>
  </conditionalFormatting>
  <conditionalFormatting sqref="E616">
    <cfRule type="cellIs" priority="334" operator="greaterThan" aboveAverage="0" equalAverage="0" bottom="0" percent="0" rank="0" text="" dxfId="0">
      <formula>0</formula>
    </cfRule>
    <cfRule type="cellIs" priority="335" operator="lessThan" aboveAverage="0" equalAverage="0" bottom="0" percent="0" rank="0" text="" dxfId="1">
      <formula>0</formula>
    </cfRule>
  </conditionalFormatting>
  <conditionalFormatting sqref="E617">
    <cfRule type="cellIs" priority="336" operator="greaterThan" aboveAverage="0" equalAverage="0" bottom="0" percent="0" rank="0" text="" dxfId="0">
      <formula>0</formula>
    </cfRule>
    <cfRule type="cellIs" priority="337" operator="lessThan" aboveAverage="0" equalAverage="0" bottom="0" percent="0" rank="0" text="" dxfId="1">
      <formula>0</formula>
    </cfRule>
  </conditionalFormatting>
  <conditionalFormatting sqref="J641:J652">
    <cfRule type="cellIs" priority="338" operator="greaterThan" aboveAverage="0" equalAverage="0" bottom="0" percent="0" rank="0" text="" dxfId="0">
      <formula>0</formula>
    </cfRule>
    <cfRule type="cellIs" priority="339" operator="lessThan" aboveAverage="0" equalAverage="0" bottom="0" percent="0" rank="0" text="" dxfId="1">
      <formula>0</formula>
    </cfRule>
  </conditionalFormatting>
  <conditionalFormatting sqref="N641:O652">
    <cfRule type="cellIs" priority="340" operator="greaterThan" aboveAverage="0" equalAverage="0" bottom="0" percent="0" rank="0" text="" dxfId="0">
      <formula>0</formula>
    </cfRule>
    <cfRule type="cellIs" priority="341" operator="lessThan" aboveAverage="0" equalAverage="0" bottom="0" percent="0" rank="0" text="" dxfId="1">
      <formula>0</formula>
    </cfRule>
  </conditionalFormatting>
  <conditionalFormatting sqref="P641:P652">
    <cfRule type="cellIs" priority="342" operator="greaterThan" aboveAverage="0" equalAverage="0" bottom="0" percent="0" rank="0" text="" dxfId="0">
      <formula>0</formula>
    </cfRule>
    <cfRule type="cellIs" priority="343" operator="lessThan" aboveAverage="0" equalAverage="0" bottom="0" percent="0" rank="0" text="" dxfId="1">
      <formula>0</formula>
    </cfRule>
  </conditionalFormatting>
  <conditionalFormatting sqref="E632">
    <cfRule type="cellIs" priority="344" operator="greaterThan" aboveAverage="0" equalAverage="0" bottom="0" percent="0" rank="0" text="" dxfId="0">
      <formula>0</formula>
    </cfRule>
    <cfRule type="cellIs" priority="345" operator="lessThan" aboveAverage="0" equalAverage="0" bottom="0" percent="0" rank="0" text="" dxfId="1">
      <formula>0</formula>
    </cfRule>
  </conditionalFormatting>
  <conditionalFormatting sqref="E636">
    <cfRule type="cellIs" priority="346" operator="greaterThan" aboveAverage="0" equalAverage="0" bottom="0" percent="0" rank="0" text="" dxfId="0">
      <formula>0</formula>
    </cfRule>
    <cfRule type="cellIs" priority="347" operator="lessThan" aboveAverage="0" equalAverage="0" bottom="0" percent="0" rank="0" text="" dxfId="1">
      <formula>0</formula>
    </cfRule>
  </conditionalFormatting>
  <conditionalFormatting sqref="E637">
    <cfRule type="cellIs" priority="348" operator="greaterThan" aboveAverage="0" equalAverage="0" bottom="0" percent="0" rank="0" text="" dxfId="0">
      <formula>0</formula>
    </cfRule>
    <cfRule type="cellIs" priority="349" operator="lessThan" aboveAverage="0" equalAverage="0" bottom="0" percent="0" rank="0" text="" dxfId="1">
      <formula>0</formula>
    </cfRule>
  </conditionalFormatting>
  <conditionalFormatting sqref="J668:J678">
    <cfRule type="cellIs" priority="350" operator="greaterThan" aboveAverage="0" equalAverage="0" bottom="0" percent="0" rank="0" text="" dxfId="0">
      <formula>0</formula>
    </cfRule>
    <cfRule type="cellIs" priority="351" operator="lessThan" aboveAverage="0" equalAverage="0" bottom="0" percent="0" rank="0" text="" dxfId="1">
      <formula>0</formula>
    </cfRule>
  </conditionalFormatting>
  <conditionalFormatting sqref="N668:O678">
    <cfRule type="cellIs" priority="352" operator="greaterThan" aboveAverage="0" equalAverage="0" bottom="0" percent="0" rank="0" text="" dxfId="0">
      <formula>0</formula>
    </cfRule>
    <cfRule type="cellIs" priority="353" operator="lessThan" aboveAverage="0" equalAverage="0" bottom="0" percent="0" rank="0" text="" dxfId="1">
      <formula>0</formula>
    </cfRule>
  </conditionalFormatting>
  <conditionalFormatting sqref="P668:P678">
    <cfRule type="cellIs" priority="354" operator="greaterThan" aboveAverage="0" equalAverage="0" bottom="0" percent="0" rank="0" text="" dxfId="0">
      <formula>0</formula>
    </cfRule>
    <cfRule type="cellIs" priority="355" operator="lessThan" aboveAverage="0" equalAverage="0" bottom="0" percent="0" rank="0" text="" dxfId="1">
      <formula>0</formula>
    </cfRule>
  </conditionalFormatting>
  <conditionalFormatting sqref="E659">
    <cfRule type="cellIs" priority="356" operator="greaterThan" aboveAverage="0" equalAverage="0" bottom="0" percent="0" rank="0" text="" dxfId="0">
      <formula>0</formula>
    </cfRule>
    <cfRule type="cellIs" priority="357" operator="lessThan" aboveAverage="0" equalAverage="0" bottom="0" percent="0" rank="0" text="" dxfId="1">
      <formula>0</formula>
    </cfRule>
  </conditionalFormatting>
  <conditionalFormatting sqref="E663">
    <cfRule type="cellIs" priority="358" operator="greaterThan" aboveAverage="0" equalAverage="0" bottom="0" percent="0" rank="0" text="" dxfId="0">
      <formula>0</formula>
    </cfRule>
    <cfRule type="cellIs" priority="359" operator="lessThan" aboveAverage="0" equalAverage="0" bottom="0" percent="0" rank="0" text="" dxfId="1">
      <formula>0</formula>
    </cfRule>
  </conditionalFormatting>
  <conditionalFormatting sqref="E664">
    <cfRule type="cellIs" priority="360" operator="greaterThan" aboveAverage="0" equalAverage="0" bottom="0" percent="0" rank="0" text="" dxfId="0">
      <formula>0</formula>
    </cfRule>
    <cfRule type="cellIs" priority="361" operator="lessThan" aboveAverage="0" equalAverage="0" bottom="0" percent="0" rank="0" text="" dxfId="1">
      <formula>0</formula>
    </cfRule>
  </conditionalFormatting>
  <conditionalFormatting sqref="J694:J700">
    <cfRule type="cellIs" priority="362" operator="greaterThan" aboveAverage="0" equalAverage="0" bottom="0" percent="0" rank="0" text="" dxfId="0">
      <formula>0</formula>
    </cfRule>
    <cfRule type="cellIs" priority="363" operator="lessThan" aboveAverage="0" equalAverage="0" bottom="0" percent="0" rank="0" text="" dxfId="1">
      <formula>0</formula>
    </cfRule>
  </conditionalFormatting>
  <conditionalFormatting sqref="N694:O700">
    <cfRule type="cellIs" priority="364" operator="greaterThan" aboveAverage="0" equalAverage="0" bottom="0" percent="0" rank="0" text="" dxfId="0">
      <formula>0</formula>
    </cfRule>
    <cfRule type="cellIs" priority="365" operator="lessThan" aboveAverage="0" equalAverage="0" bottom="0" percent="0" rank="0" text="" dxfId="1">
      <formula>0</formula>
    </cfRule>
  </conditionalFormatting>
  <conditionalFormatting sqref="P694:P700">
    <cfRule type="cellIs" priority="366" operator="greaterThan" aboveAverage="0" equalAverage="0" bottom="0" percent="0" rank="0" text="" dxfId="0">
      <formula>0</formula>
    </cfRule>
    <cfRule type="cellIs" priority="367" operator="lessThan" aboveAverage="0" equalAverage="0" bottom="0" percent="0" rank="0" text="" dxfId="1">
      <formula>0</formula>
    </cfRule>
  </conditionalFormatting>
  <conditionalFormatting sqref="E685">
    <cfRule type="cellIs" priority="368" operator="greaterThan" aboveAverage="0" equalAverage="0" bottom="0" percent="0" rank="0" text="" dxfId="0">
      <formula>0</formula>
    </cfRule>
    <cfRule type="cellIs" priority="369" operator="lessThan" aboveAverage="0" equalAverage="0" bottom="0" percent="0" rank="0" text="" dxfId="1">
      <formula>0</formula>
    </cfRule>
  </conditionalFormatting>
  <conditionalFormatting sqref="E689">
    <cfRule type="cellIs" priority="370" operator="greaterThan" aboveAverage="0" equalAverage="0" bottom="0" percent="0" rank="0" text="" dxfId="0">
      <formula>0</formula>
    </cfRule>
    <cfRule type="cellIs" priority="371" operator="lessThan" aboveAverage="0" equalAverage="0" bottom="0" percent="0" rank="0" text="" dxfId="1">
      <formula>0</formula>
    </cfRule>
  </conditionalFormatting>
  <conditionalFormatting sqref="E690">
    <cfRule type="cellIs" priority="372" operator="greaterThan" aboveAverage="0" equalAverage="0" bottom="0" percent="0" rank="0" text="" dxfId="0">
      <formula>0</formula>
    </cfRule>
    <cfRule type="cellIs" priority="373" operator="lessThan" aboveAverage="0" equalAverage="0" bottom="0" percent="0" rank="0" text="" dxfId="1">
      <formula>0</formula>
    </cfRule>
  </conditionalFormatting>
  <conditionalFormatting sqref="J716:J718">
    <cfRule type="cellIs" priority="374" operator="greaterThan" aboveAverage="0" equalAverage="0" bottom="0" percent="0" rank="0" text="" dxfId="0">
      <formula>0</formula>
    </cfRule>
    <cfRule type="cellIs" priority="375" operator="lessThan" aboveAverage="0" equalAverage="0" bottom="0" percent="0" rank="0" text="" dxfId="1">
      <formula>0</formula>
    </cfRule>
  </conditionalFormatting>
  <conditionalFormatting sqref="N716:O718">
    <cfRule type="cellIs" priority="376" operator="greaterThan" aboveAverage="0" equalAverage="0" bottom="0" percent="0" rank="0" text="" dxfId="0">
      <formula>0</formula>
    </cfRule>
    <cfRule type="cellIs" priority="377" operator="lessThan" aboveAverage="0" equalAverage="0" bottom="0" percent="0" rank="0" text="" dxfId="1">
      <formula>0</formula>
    </cfRule>
  </conditionalFormatting>
  <conditionalFormatting sqref="P716:P718">
    <cfRule type="cellIs" priority="378" operator="greaterThan" aboveAverage="0" equalAverage="0" bottom="0" percent="0" rank="0" text="" dxfId="0">
      <formula>0</formula>
    </cfRule>
    <cfRule type="cellIs" priority="379" operator="lessThan" aboveAverage="0" equalAverage="0" bottom="0" percent="0" rank="0" text="" dxfId="1">
      <formula>0</formula>
    </cfRule>
  </conditionalFormatting>
  <conditionalFormatting sqref="E707">
    <cfRule type="cellIs" priority="380" operator="greaterThan" aboveAverage="0" equalAverage="0" bottom="0" percent="0" rank="0" text="" dxfId="0">
      <formula>0</formula>
    </cfRule>
    <cfRule type="cellIs" priority="381" operator="lessThan" aboveAverage="0" equalAverage="0" bottom="0" percent="0" rank="0" text="" dxfId="1">
      <formula>0</formula>
    </cfRule>
  </conditionalFormatting>
  <conditionalFormatting sqref="E711">
    <cfRule type="cellIs" priority="382" operator="greaterThan" aboveAverage="0" equalAverage="0" bottom="0" percent="0" rank="0" text="" dxfId="0">
      <formula>0</formula>
    </cfRule>
    <cfRule type="cellIs" priority="383" operator="lessThan" aboveAverage="0" equalAverage="0" bottom="0" percent="0" rank="0" text="" dxfId="1">
      <formula>0</formula>
    </cfRule>
  </conditionalFormatting>
  <conditionalFormatting sqref="E712">
    <cfRule type="cellIs" priority="384" operator="greaterThan" aboveAverage="0" equalAverage="0" bottom="0" percent="0" rank="0" text="" dxfId="0">
      <formula>0</formula>
    </cfRule>
    <cfRule type="cellIs" priority="385" operator="lessThan" aboveAverage="0" equalAverage="0" bottom="0" percent="0" rank="0" text="" dxfId="1">
      <formula>0</formula>
    </cfRule>
  </conditionalFormatting>
  <conditionalFormatting sqref="J734:J741">
    <cfRule type="cellIs" priority="386" operator="greaterThan" aboveAverage="0" equalAverage="0" bottom="0" percent="0" rank="0" text="" dxfId="0">
      <formula>0</formula>
    </cfRule>
    <cfRule type="cellIs" priority="387" operator="lessThan" aboveAverage="0" equalAverage="0" bottom="0" percent="0" rank="0" text="" dxfId="1">
      <formula>0</formula>
    </cfRule>
  </conditionalFormatting>
  <conditionalFormatting sqref="N734:O741">
    <cfRule type="cellIs" priority="388" operator="greaterThan" aboveAverage="0" equalAverage="0" bottom="0" percent="0" rank="0" text="" dxfId="0">
      <formula>0</formula>
    </cfRule>
    <cfRule type="cellIs" priority="389" operator="lessThan" aboveAverage="0" equalAverage="0" bottom="0" percent="0" rank="0" text="" dxfId="1">
      <formula>0</formula>
    </cfRule>
  </conditionalFormatting>
  <conditionalFormatting sqref="P734:P741">
    <cfRule type="cellIs" priority="390" operator="greaterThan" aboveAverage="0" equalAverage="0" bottom="0" percent="0" rank="0" text="" dxfId="0">
      <formula>0</formula>
    </cfRule>
    <cfRule type="cellIs" priority="391" operator="lessThan" aboveAverage="0" equalAverage="0" bottom="0" percent="0" rank="0" text="" dxfId="1">
      <formula>0</formula>
    </cfRule>
  </conditionalFormatting>
  <conditionalFormatting sqref="E725">
    <cfRule type="cellIs" priority="392" operator="greaterThan" aboveAverage="0" equalAverage="0" bottom="0" percent="0" rank="0" text="" dxfId="0">
      <formula>0</formula>
    </cfRule>
    <cfRule type="cellIs" priority="393" operator="lessThan" aboveAverage="0" equalAverage="0" bottom="0" percent="0" rank="0" text="" dxfId="1">
      <formula>0</formula>
    </cfRule>
  </conditionalFormatting>
  <conditionalFormatting sqref="E729">
    <cfRule type="cellIs" priority="394" operator="greaterThan" aboveAverage="0" equalAverage="0" bottom="0" percent="0" rank="0" text="" dxfId="0">
      <formula>0</formula>
    </cfRule>
    <cfRule type="cellIs" priority="395" operator="lessThan" aboveAverage="0" equalAverage="0" bottom="0" percent="0" rank="0" text="" dxfId="1">
      <formula>0</formula>
    </cfRule>
  </conditionalFormatting>
  <conditionalFormatting sqref="E730">
    <cfRule type="cellIs" priority="396" operator="greaterThan" aboveAverage="0" equalAverage="0" bottom="0" percent="0" rank="0" text="" dxfId="0">
      <formula>0</formula>
    </cfRule>
    <cfRule type="cellIs" priority="397" operator="lessThan" aboveAverage="0" equalAverage="0" bottom="0" percent="0" rank="0" text="" dxfId="1">
      <formula>0</formula>
    </cfRule>
  </conditionalFormatting>
  <conditionalFormatting sqref="J757:J761">
    <cfRule type="cellIs" priority="398" operator="greaterThan" aboveAverage="0" equalAverage="0" bottom="0" percent="0" rank="0" text="" dxfId="0">
      <formula>0</formula>
    </cfRule>
    <cfRule type="cellIs" priority="399" operator="lessThan" aboveAverage="0" equalAverage="0" bottom="0" percent="0" rank="0" text="" dxfId="1">
      <formula>0</formula>
    </cfRule>
  </conditionalFormatting>
  <conditionalFormatting sqref="N757:O761">
    <cfRule type="cellIs" priority="400" operator="greaterThan" aboveAverage="0" equalAverage="0" bottom="0" percent="0" rank="0" text="" dxfId="0">
      <formula>0</formula>
    </cfRule>
    <cfRule type="cellIs" priority="401" operator="lessThan" aboveAverage="0" equalAverage="0" bottom="0" percent="0" rank="0" text="" dxfId="1">
      <formula>0</formula>
    </cfRule>
  </conditionalFormatting>
  <conditionalFormatting sqref="P757:P761">
    <cfRule type="cellIs" priority="402" operator="greaterThan" aboveAverage="0" equalAverage="0" bottom="0" percent="0" rank="0" text="" dxfId="0">
      <formula>0</formula>
    </cfRule>
    <cfRule type="cellIs" priority="403" operator="lessThan" aboveAverage="0" equalAverage="0" bottom="0" percent="0" rank="0" text="" dxfId="1">
      <formula>0</formula>
    </cfRule>
  </conditionalFormatting>
  <conditionalFormatting sqref="E748">
    <cfRule type="cellIs" priority="404" operator="greaterThan" aboveAverage="0" equalAverage="0" bottom="0" percent="0" rank="0" text="" dxfId="0">
      <formula>0</formula>
    </cfRule>
    <cfRule type="cellIs" priority="405" operator="lessThan" aboveAverage="0" equalAverage="0" bottom="0" percent="0" rank="0" text="" dxfId="1">
      <formula>0</formula>
    </cfRule>
  </conditionalFormatting>
  <conditionalFormatting sqref="E752">
    <cfRule type="cellIs" priority="406" operator="greaterThan" aboveAverage="0" equalAverage="0" bottom="0" percent="0" rank="0" text="" dxfId="0">
      <formula>0</formula>
    </cfRule>
    <cfRule type="cellIs" priority="407" operator="lessThan" aboveAverage="0" equalAverage="0" bottom="0" percent="0" rank="0" text="" dxfId="1">
      <formula>0</formula>
    </cfRule>
  </conditionalFormatting>
  <conditionalFormatting sqref="E753">
    <cfRule type="cellIs" priority="408" operator="greaterThan" aboveAverage="0" equalAverage="0" bottom="0" percent="0" rank="0" text="" dxfId="0">
      <formula>0</formula>
    </cfRule>
    <cfRule type="cellIs" priority="409" operator="lessThan" aboveAverage="0" equalAverage="0" bottom="0" percent="0" rank="0" text="" dxfId="1">
      <formula>0</formula>
    </cfRule>
  </conditionalFormatting>
  <conditionalFormatting sqref="J777:J782">
    <cfRule type="cellIs" priority="410" operator="greaterThan" aboveAverage="0" equalAverage="0" bottom="0" percent="0" rank="0" text="" dxfId="0">
      <formula>0</formula>
    </cfRule>
    <cfRule type="cellIs" priority="411" operator="lessThan" aboveAverage="0" equalAverage="0" bottom="0" percent="0" rank="0" text="" dxfId="1">
      <formula>0</formula>
    </cfRule>
  </conditionalFormatting>
  <conditionalFormatting sqref="N777:O782">
    <cfRule type="cellIs" priority="412" operator="greaterThan" aboveAverage="0" equalAverage="0" bottom="0" percent="0" rank="0" text="" dxfId="0">
      <formula>0</formula>
    </cfRule>
    <cfRule type="cellIs" priority="413" operator="lessThan" aboveAverage="0" equalAverage="0" bottom="0" percent="0" rank="0" text="" dxfId="1">
      <formula>0</formula>
    </cfRule>
  </conditionalFormatting>
  <conditionalFormatting sqref="P777:P782">
    <cfRule type="cellIs" priority="414" operator="greaterThan" aboveAverage="0" equalAverage="0" bottom="0" percent="0" rank="0" text="" dxfId="0">
      <formula>0</formula>
    </cfRule>
    <cfRule type="cellIs" priority="415" operator="lessThan" aboveAverage="0" equalAverage="0" bottom="0" percent="0" rank="0" text="" dxfId="1">
      <formula>0</formula>
    </cfRule>
  </conditionalFormatting>
  <conditionalFormatting sqref="E768">
    <cfRule type="cellIs" priority="416" operator="greaterThan" aboveAverage="0" equalAverage="0" bottom="0" percent="0" rank="0" text="" dxfId="0">
      <formula>0</formula>
    </cfRule>
    <cfRule type="cellIs" priority="417" operator="lessThan" aboveAverage="0" equalAverage="0" bottom="0" percent="0" rank="0" text="" dxfId="1">
      <formula>0</formula>
    </cfRule>
  </conditionalFormatting>
  <conditionalFormatting sqref="E772">
    <cfRule type="cellIs" priority="418" operator="greaterThan" aboveAverage="0" equalAverage="0" bottom="0" percent="0" rank="0" text="" dxfId="0">
      <formula>0</formula>
    </cfRule>
    <cfRule type="cellIs" priority="419" operator="lessThan" aboveAverage="0" equalAverage="0" bottom="0" percent="0" rank="0" text="" dxfId="1">
      <formula>0</formula>
    </cfRule>
  </conditionalFormatting>
  <conditionalFormatting sqref="E773">
    <cfRule type="cellIs" priority="420" operator="greaterThan" aboveAverage="0" equalAverage="0" bottom="0" percent="0" rank="0" text="" dxfId="0">
      <formula>0</formula>
    </cfRule>
    <cfRule type="cellIs" priority="421" operator="lessThan" aboveAverage="0" equalAverage="0" bottom="0" percent="0" rank="0" text="" dxfId="1">
      <formula>0</formula>
    </cfRule>
  </conditionalFormatting>
  <conditionalFormatting sqref="J798:J803">
    <cfRule type="cellIs" priority="422" operator="greaterThan" aboveAverage="0" equalAverage="0" bottom="0" percent="0" rank="0" text="" dxfId="0">
      <formula>0</formula>
    </cfRule>
    <cfRule type="cellIs" priority="423" operator="lessThan" aboveAverage="0" equalAverage="0" bottom="0" percent="0" rank="0" text="" dxfId="1">
      <formula>0</formula>
    </cfRule>
  </conditionalFormatting>
  <conditionalFormatting sqref="N798:O803">
    <cfRule type="cellIs" priority="424" operator="greaterThan" aboveAverage="0" equalAverage="0" bottom="0" percent="0" rank="0" text="" dxfId="0">
      <formula>0</formula>
    </cfRule>
    <cfRule type="cellIs" priority="425" operator="lessThan" aboveAverage="0" equalAverage="0" bottom="0" percent="0" rank="0" text="" dxfId="1">
      <formula>0</formula>
    </cfRule>
  </conditionalFormatting>
  <conditionalFormatting sqref="P798:P803">
    <cfRule type="cellIs" priority="426" operator="greaterThan" aboveAverage="0" equalAverage="0" bottom="0" percent="0" rank="0" text="" dxfId="0">
      <formula>0</formula>
    </cfRule>
    <cfRule type="cellIs" priority="427" operator="lessThan" aboveAverage="0" equalAverage="0" bottom="0" percent="0" rank="0" text="" dxfId="1">
      <formula>0</formula>
    </cfRule>
  </conditionalFormatting>
  <conditionalFormatting sqref="E789">
    <cfRule type="cellIs" priority="428" operator="greaterThan" aboveAverage="0" equalAverage="0" bottom="0" percent="0" rank="0" text="" dxfId="0">
      <formula>0</formula>
    </cfRule>
    <cfRule type="cellIs" priority="429" operator="lessThan" aboveAverage="0" equalAverage="0" bottom="0" percent="0" rank="0" text="" dxfId="1">
      <formula>0</formula>
    </cfRule>
  </conditionalFormatting>
  <conditionalFormatting sqref="E793">
    <cfRule type="cellIs" priority="430" operator="greaterThan" aboveAverage="0" equalAverage="0" bottom="0" percent="0" rank="0" text="" dxfId="0">
      <formula>0</formula>
    </cfRule>
    <cfRule type="cellIs" priority="431" operator="lessThan" aboveAverage="0" equalAverage="0" bottom="0" percent="0" rank="0" text="" dxfId="1">
      <formula>0</formula>
    </cfRule>
  </conditionalFormatting>
  <conditionalFormatting sqref="E794">
    <cfRule type="cellIs" priority="432" operator="greaterThan" aboveAverage="0" equalAverage="0" bottom="0" percent="0" rank="0" text="" dxfId="0">
      <formula>0</formula>
    </cfRule>
    <cfRule type="cellIs" priority="43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66"/>
  </cols>
  <sheetData>
    <row r="1" customFormat="false" ht="19.7" hidden="false" customHeight="false" outlineLevel="0" collapsed="false">
      <c r="A1" s="1" t="s">
        <v>221</v>
      </c>
    </row>
    <row r="2" customFormat="false" ht="15" hidden="false" customHeight="false" outlineLevel="0" collapsed="false">
      <c r="A2" s="2" t="s">
        <v>222</v>
      </c>
    </row>
    <row r="4" customFormat="false" ht="30" hidden="false" customHeight="true" outlineLevel="0" collapsed="false">
      <c r="A4" s="18" t="s">
        <v>223</v>
      </c>
      <c r="B4" s="18" t="s">
        <v>50</v>
      </c>
      <c r="C4" s="18" t="s">
        <v>224</v>
      </c>
    </row>
    <row r="5" customFormat="false" ht="15" hidden="false" customHeight="false" outlineLevel="0" collapsed="false">
      <c r="A5" s="6" t="s">
        <v>225</v>
      </c>
      <c r="B5" s="53" t="n">
        <v>53.99999</v>
      </c>
      <c r="C5" s="6" t="s">
        <v>226</v>
      </c>
    </row>
    <row r="6" customFormat="false" ht="15" hidden="false" customHeight="false" outlineLevel="0" collapsed="false">
      <c r="A6" s="6" t="s">
        <v>227</v>
      </c>
      <c r="B6" s="54" t="n">
        <v>0.0175</v>
      </c>
      <c r="C6" s="6" t="s">
        <v>228</v>
      </c>
    </row>
    <row r="7" customFormat="false" ht="15" hidden="false" customHeight="false" outlineLevel="0" collapsed="false">
      <c r="A7" s="6" t="s">
        <v>229</v>
      </c>
      <c r="B7" s="53" t="n">
        <v>54</v>
      </c>
      <c r="C7" s="6" t="s">
        <v>230</v>
      </c>
    </row>
    <row r="8" customFormat="false" ht="15" hidden="false" customHeight="false" outlineLevel="0" collapsed="false">
      <c r="A8" s="6" t="s">
        <v>231</v>
      </c>
      <c r="B8" s="55" t="n">
        <v>0.000325</v>
      </c>
      <c r="C8" s="6" t="s">
        <v>232</v>
      </c>
    </row>
    <row r="9" customFormat="false" ht="15" hidden="false" customHeight="false" outlineLevel="0" collapsed="false">
      <c r="A9" s="6" t="s">
        <v>233</v>
      </c>
      <c r="B9" s="56" t="n">
        <v>0.13</v>
      </c>
      <c r="C9" s="6" t="s">
        <v>234</v>
      </c>
    </row>
    <row r="10" customFormat="false" ht="15" hidden="false" customHeight="false" outlineLevel="0" collapsed="false">
      <c r="A10" s="6" t="s">
        <v>235</v>
      </c>
      <c r="B10" s="57" t="n">
        <v>100</v>
      </c>
      <c r="C10" s="6" t="s">
        <v>236</v>
      </c>
    </row>
    <row r="11" customFormat="false" ht="15" hidden="false" customHeight="false" outlineLevel="0" collapsed="false">
      <c r="A11" s="6" t="s">
        <v>237</v>
      </c>
      <c r="B11" s="58" t="s">
        <v>144</v>
      </c>
      <c r="C11" s="6" t="s">
        <v>238</v>
      </c>
    </row>
    <row r="12" customFormat="false" ht="15" hidden="false" customHeight="false" outlineLevel="0" collapsed="false">
      <c r="A12" s="6" t="s">
        <v>239</v>
      </c>
      <c r="B12" s="58" t="s">
        <v>240</v>
      </c>
      <c r="C12" s="6" t="s">
        <v>241</v>
      </c>
    </row>
    <row r="15" customFormat="false" ht="15" hidden="false" customHeight="false" outlineLevel="0" collapsed="false">
      <c r="A15" s="31" t="s">
        <v>242</v>
      </c>
    </row>
    <row r="16" customFormat="false" ht="15" hidden="false" customHeight="false" outlineLevel="0" collapsed="false">
      <c r="A16" s="59" t="s">
        <v>243</v>
      </c>
    </row>
    <row r="17" customFormat="false" ht="15" hidden="false" customHeight="false" outlineLevel="0" collapsed="false">
      <c r="A17" s="59" t="s">
        <v>244</v>
      </c>
    </row>
    <row r="18" customFormat="false" ht="15" hidden="false" customHeight="false" outlineLevel="0" collapsed="false">
      <c r="A18" s="59" t="s">
        <v>245</v>
      </c>
    </row>
    <row r="19" customFormat="false" ht="15" hidden="false" customHeight="false" outlineLevel="0" collapsed="false">
      <c r="A19" s="59" t="s">
        <v>246</v>
      </c>
    </row>
    <row r="20" customFormat="false" ht="15" hidden="false" customHeight="false" outlineLevel="0" collapsed="false">
      <c r="A20" s="59" t="s">
        <v>247</v>
      </c>
    </row>
    <row r="21" customFormat="false" ht="15" hidden="false" customHeight="false" outlineLevel="0" collapsed="false">
      <c r="A21" s="59" t="s">
        <v>248</v>
      </c>
    </row>
    <row r="22" customFormat="false" ht="15" hidden="false" customHeight="false" outlineLevel="0" collapsed="false">
      <c r="A22" s="59" t="s">
        <v>249</v>
      </c>
    </row>
    <row r="23" customFormat="false" ht="15" hidden="false" customHeight="false" outlineLevel="0" collapsed="false">
      <c r="A23" s="59" t="s">
        <v>250</v>
      </c>
    </row>
    <row r="24" customFormat="false" ht="15" hidden="false" customHeight="false" outlineLevel="0" collapsed="false">
      <c r="A24" s="59" t="s">
        <v>251</v>
      </c>
    </row>
    <row r="25" customFormat="false" ht="15" hidden="false" customHeight="false" outlineLevel="0" collapsed="false">
      <c r="A25" s="59" t="s">
        <v>252</v>
      </c>
    </row>
    <row r="26" customFormat="false" ht="15" hidden="false" customHeight="false" outlineLevel="0" collapsed="false">
      <c r="A26" s="59" t="s">
        <v>253</v>
      </c>
    </row>
    <row r="27" customFormat="false" ht="15" hidden="false" customHeight="false" outlineLevel="0" collapsed="false">
      <c r="A27" s="59" t="s">
        <v>254</v>
      </c>
    </row>
    <row r="28" customFormat="false" ht="15" hidden="false" customHeight="false" outlineLevel="0" collapsed="false">
      <c r="A28" s="59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2026-10-16T11:35:14Z</dcterms:created>
  <dc:creator>Trading Analysis Assistant</dc:creator>
  <dc:description/>
  <dc:language>en-US</dc:language>
  <cp:lastModifiedBy/>
  <dcterms:modified xsi:type="dcterms:W3CDTF">2026-10-16T11:35:14Z</dcterms:modified>
  <cp:revision>0</cp:revision>
  <dc:subject/>
  <dc:title>Trade Summary, Profit, Commission &amp; Tax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