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Daily Summary" sheetId="2" state="visible" r:id="rId4"/>
    <sheet name="MTD Summary" sheetId="3" state="visible" r:id="rId5"/>
    <sheet name="QTD Summary" sheetId="4" state="visible" r:id="rId6"/>
    <sheet name="YTD Summary" sheetId="5" state="visible" r:id="rId7"/>
    <sheet name="Monthly Summary" sheetId="6" state="visible" r:id="rId8"/>
    <sheet name="Yearly Summary" sheetId="7" state="visible" r:id="rId9"/>
    <sheet name="Symbol Performance" sheetId="8" state="visible" r:id="rId10"/>
    <sheet name="Daily Trade Summary" sheetId="9" state="visible" r:id="rId11"/>
    <sheet name="Settings" sheetId="10" state="visible" r:id="rId12"/>
  </sheets>
  <definedNames>
    <definedName function="false" hidden="true" localSheetId="5" name="_xlnm._FilterDatabase" vbProcedure="false">'Monthly Summary'!$A$4:$P$7</definedName>
    <definedName function="false" hidden="true" localSheetId="7" name="_xlnm._FilterDatabase" vbProcedure="false">'Symbol Performance'!$A$4:$J$35</definedName>
    <definedName function="false" hidden="true" localSheetId="6" name="_xlnm._FilterDatabase" vbProcedure="false">'Yearly Summary'!$A$4:$P$5</definedName>
    <definedName function="false" hidden="false" name="Comm_Slab1_Paisa" vbProcedure="false">Settings!$B$6</definedName>
    <definedName function="false" hidden="false" name="Comm_Slab1_Upper" vbProcedure="false">Settings!$B$5</definedName>
    <definedName function="false" hidden="false" name="Comm_Slab2_Rate" vbProcedure="false">Settings!$B$8</definedName>
    <definedName function="false" hidden="false" name="Comm_Slab2_Start" vbProcedure="false">Settings!$B$7</definedName>
    <definedName function="false" hidden="false" name="Paisa_Per_PKR" vbProcedure="false">Settings!$B$10</definedName>
    <definedName function="false" hidden="false" name="SST_Rate" vbProcedure="false">Settings!$B$9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<sst xmlns="http://schemas.openxmlformats.org/spreadsheetml/2006/main" count="1169" uniqueCount="199">
  <si>
    <t xml:space="preserve">Trading Performance Dashboard</t>
  </si>
  <si>
    <t xml:space="preserve">Account 91269 (THM00601) • Market FUT, Reg • Currency PKR • Generated 15-Oct-2026 10:36</t>
  </si>
  <si>
    <t xml:space="preserve">Latest Trading Day:</t>
  </si>
  <si>
    <t xml:space="preserve">LATEST TRADING DAY</t>
  </si>
  <si>
    <t xml:space="preserve">PERFORMANCE SNAPSHOT</t>
  </si>
  <si>
    <t xml:space="preserve">Buy Value</t>
  </si>
  <si>
    <t xml:space="preserve">Period</t>
  </si>
  <si>
    <t xml:space="preserve">Net P&amp;L (PKR)</t>
  </si>
  <si>
    <t xml:space="preserve">Return on Buy</t>
  </si>
  <si>
    <t xml:space="preserve">Sell Value</t>
  </si>
  <si>
    <t xml:space="preserve">MTD (Oct 2026)</t>
  </si>
  <si>
    <t xml:space="preserve">Gross P&amp;L</t>
  </si>
  <si>
    <t xml:space="preserve">QTD (Q4 2026)</t>
  </si>
  <si>
    <t xml:space="preserve">Commission</t>
  </si>
  <si>
    <t xml:space="preserve">YTD (2026)</t>
  </si>
  <si>
    <t xml:space="preserve">SST (13%)</t>
  </si>
  <si>
    <t xml:space="preserve">Net P&amp;L</t>
  </si>
  <si>
    <t xml:space="preserve">ACTIVITY — ALL IMPORTED DATA</t>
  </si>
  <si>
    <t xml:space="preserve">Total Traded Volume (PKR)</t>
  </si>
  <si>
    <t xml:space="preserve">Executions</t>
  </si>
  <si>
    <t xml:space="preserve">Symbols</t>
  </si>
  <si>
    <t xml:space="preserve">Trading Days</t>
  </si>
  <si>
    <t xml:space="preserve">BEST / WORST SYMBOL (Net P&amp;L, all dates)</t>
  </si>
  <si>
    <t xml:space="preserve">Best Symbol</t>
  </si>
  <si>
    <t xml:space="preserve">Worst Symbol</t>
  </si>
  <si>
    <t xml:space="preserve">• Methodology: Gross P&amp;L = Sell Value − Buy Value (intraday buy/sell flow; Short Sell counts as SELL).</t>
  </si>
  <si>
    <t xml:space="preserve">• Commission is sell-side only: sell rate &lt; 54 → 0.0175 paisa/share;  ≥ 54 → 0.0325% of sell value. SST = 13% of commission.</t>
  </si>
  <si>
    <t xml:space="preserve">• Net P&amp;L = Gross P&amp;L − Commission − SST.  Return on Buy = Net P&amp;L ÷ Buy Value (recomputed from totals, never averaged).</t>
  </si>
  <si>
    <t xml:space="preserve">• Position status through 15-Oct-2026: all symbols flat (net quantity 0) on every trading day.</t>
  </si>
  <si>
    <t xml:space="preserve">• This is a flow-based summary, not FIFO/average-cost realized-position accounting. See the Settings sheet.</t>
  </si>
  <si>
    <t xml:space="preserve">Daily Summary</t>
  </si>
  <si>
    <t xml:space="preserve">One row per trading date — linked live to the Daily Trade Summary blocks.</t>
  </si>
  <si>
    <t xml:space="preserve">Date</t>
  </si>
  <si>
    <t xml:space="preserve">Buy Qty</t>
  </si>
  <si>
    <t xml:space="preserve">Sell Qty</t>
  </si>
  <si>
    <t xml:space="preserve">Net Qty</t>
  </si>
  <si>
    <t xml:space="preserve">Buy Value (PKR)</t>
  </si>
  <si>
    <t xml:space="preserve">Sell Value (PKR)</t>
  </si>
  <si>
    <t xml:space="preserve">Gross P&amp;L (PKR)</t>
  </si>
  <si>
    <t xml:space="preserve">Commission (PKR)</t>
  </si>
  <si>
    <t xml:space="preserve">SST (PKR)</t>
  </si>
  <si>
    <t xml:space="preserve">Total Charges (PKR)</t>
  </si>
  <si>
    <t xml:space="preserve">TOTAL</t>
  </si>
  <si>
    <t xml:space="preserve">Month-to-Date — October 2026</t>
  </si>
  <si>
    <t xml:space="preserve">Live SUMIFS over the Daily Summary, bounded by the period dates below.</t>
  </si>
  <si>
    <t xml:space="preserve">Period Start (calendar):</t>
  </si>
  <si>
    <t xml:space="preserve">Period End (latest trade):</t>
  </si>
  <si>
    <t xml:space="preserve">First Trading Day in Period:</t>
  </si>
  <si>
    <t xml:space="preserve">Trading Days:</t>
  </si>
  <si>
    <t xml:space="preserve">Metric</t>
  </si>
  <si>
    <t xml:space="preserve">Value</t>
  </si>
  <si>
    <t xml:space="preserve">Buy Quantity</t>
  </si>
  <si>
    <t xml:space="preserve">Sell Quantity</t>
  </si>
  <si>
    <t xml:space="preserve">Net Quantity</t>
  </si>
  <si>
    <t xml:space="preserve">Date-by-Date Breakdown</t>
  </si>
  <si>
    <t xml:space="preserve">Quarter-to-Date — Q4 2026 (Oct–Dec)</t>
  </si>
  <si>
    <t xml:space="preserve">Year-to-Date — 2026</t>
  </si>
  <si>
    <t xml:space="preserve">Monthly Summary — Month-Wise Performance</t>
  </si>
  <si>
    <t xml:space="preserve">One row per calendar month with trading data, oldest → newest. Live SUMIFS over the Daily Summary.</t>
  </si>
  <si>
    <t xml:space="preserve">Month</t>
  </si>
  <si>
    <t xml:space="preserve">Avg Buy Price</t>
  </si>
  <si>
    <t xml:space="preserve">Avg Sell Price</t>
  </si>
  <si>
    <t xml:space="preserve">Price Diff (Sell−Buy)</t>
  </si>
  <si>
    <t xml:space="preserve">Commission Rate (Slab)</t>
  </si>
  <si>
    <t xml:space="preserve">SST 13% (PKR)</t>
  </si>
  <si>
    <t xml:space="preserve">Note: all figures accumulate the underlying execution history for the whole period (weighted averages from totals; Return on Buy = Net P&amp;L ÷ Buy Value, never averaged). Commission is accumulated per execution; the slab label reflects the period's weighted-average sell rate.</t>
  </si>
  <si>
    <t xml:space="preserve">Yearly Summary — Year-Wise Performance</t>
  </si>
  <si>
    <t xml:space="preserve">One row per calendar year with trading data, oldest → newest. Live SUMIFS over the Daily Summary.</t>
  </si>
  <si>
    <t xml:space="preserve">Year</t>
  </si>
  <si>
    <t xml:space="preserve">Symbol Performance — All Trading Dates</t>
  </si>
  <si>
    <t xml:space="preserve">Aggregated across the full imported history (live SUMIF over the Daily Trade Summary), sorted by Net P&amp;L.</t>
  </si>
  <si>
    <t xml:space="preserve">Symbol</t>
  </si>
  <si>
    <t xml:space="preserve">PRL-SEP</t>
  </si>
  <si>
    <t xml:space="preserve">◄ Best performer</t>
  </si>
  <si>
    <t xml:space="preserve">NRL-SEP</t>
  </si>
  <si>
    <t xml:space="preserve">PPL-SEP</t>
  </si>
  <si>
    <t xml:space="preserve">DGKC</t>
  </si>
  <si>
    <t xml:space="preserve">PRL</t>
  </si>
  <si>
    <t xml:space="preserve">OGDC-SEP</t>
  </si>
  <si>
    <t xml:space="preserve">TRG-OCT</t>
  </si>
  <si>
    <t xml:space="preserve">MLCF</t>
  </si>
  <si>
    <t xml:space="preserve">NRL</t>
  </si>
  <si>
    <t xml:space="preserve">OGDC-OCTB</t>
  </si>
  <si>
    <t xml:space="preserve">NRL-OCT</t>
  </si>
  <si>
    <t xml:space="preserve">PSO</t>
  </si>
  <si>
    <t xml:space="preserve">CPHL-SEP</t>
  </si>
  <si>
    <t xml:space="preserve">OGDC</t>
  </si>
  <si>
    <t xml:space="preserve">THCCL-SEP</t>
  </si>
  <si>
    <t xml:space="preserve">PSO-SEP</t>
  </si>
  <si>
    <t xml:space="preserve">PPL</t>
  </si>
  <si>
    <t xml:space="preserve">GAL-SEP</t>
  </si>
  <si>
    <t xml:space="preserve">SEARL</t>
  </si>
  <si>
    <t xml:space="preserve">BOP-SEPB</t>
  </si>
  <si>
    <t xml:space="preserve">TRG</t>
  </si>
  <si>
    <t xml:space="preserve">NBP</t>
  </si>
  <si>
    <t xml:space="preserve">FCCL</t>
  </si>
  <si>
    <t xml:space="preserve">DGKC-OCT</t>
  </si>
  <si>
    <t xml:space="preserve">MLCF-SEP</t>
  </si>
  <si>
    <t xml:space="preserve">PSO-OCT</t>
  </si>
  <si>
    <t xml:space="preserve">NCPL-SEP</t>
  </si>
  <si>
    <t xml:space="preserve">ATRL</t>
  </si>
  <si>
    <t xml:space="preserve">THCCL</t>
  </si>
  <si>
    <t xml:space="preserve">DGKC-SEP</t>
  </si>
  <si>
    <t xml:space="preserve">PRL-OCT</t>
  </si>
  <si>
    <t xml:space="preserve">◄ Worst performer</t>
  </si>
  <si>
    <t xml:space="preserve">Daily Trade Summary — 24 Aug 2026</t>
  </si>
  <si>
    <t xml:space="preserve">Gross intraday buy/sell flow • commission &amp; SST • net P&amp;L  (all values PKR)</t>
  </si>
  <si>
    <t xml:space="preserve">Day Results</t>
  </si>
  <si>
    <t xml:space="preserve">Trading Date:</t>
  </si>
  <si>
    <t xml:space="preserve">Total Buy Value</t>
  </si>
  <si>
    <t xml:space="preserve">Account:</t>
  </si>
  <si>
    <t xml:space="preserve">THM00601  (A/c 91269)</t>
  </si>
  <si>
    <t xml:space="preserve">Total Sell Value</t>
  </si>
  <si>
    <t xml:space="preserve">Market:</t>
  </si>
  <si>
    <t xml:space="preserve">Reg (regular/cash market)</t>
  </si>
  <si>
    <t xml:space="preserve">Trading Session:</t>
  </si>
  <si>
    <t xml:space="preserve">Full day 00:00–23:59 (per source log)</t>
  </si>
  <si>
    <t xml:space="preserve">Currency:</t>
  </si>
  <si>
    <t xml:space="preserve">PKR</t>
  </si>
  <si>
    <t xml:space="preserve">Source File:</t>
  </si>
  <si>
    <t xml:space="preserve">TradeLog-24-08-2026_ME.txt</t>
  </si>
  <si>
    <t xml:space="preserve">Total Charges</t>
  </si>
  <si>
    <t xml:space="preserve">Net Position (shares)</t>
  </si>
  <si>
    <t xml:space="preserve">Symbol-Level Summary</t>
  </si>
  <si>
    <t xml:space="preserve">Daily Trade Summary — 27 Aug 2026</t>
  </si>
  <si>
    <t xml:space="preserve">FUT (futures/derivatives), Reg (regular/cash market)</t>
  </si>
  <si>
    <t xml:space="preserve">TradeLog-27-08-2026_ME.txt</t>
  </si>
  <si>
    <t xml:space="preserve">Daily Trade Summary — 02 Sep 2026</t>
  </si>
  <si>
    <t xml:space="preserve">TradeLog-02-09-2026_ME.txt</t>
  </si>
  <si>
    <t xml:space="preserve">Daily Trade Summary — 04 Sep 2026</t>
  </si>
  <si>
    <t xml:space="preserve">FUT (futures/derivatives)</t>
  </si>
  <si>
    <t xml:space="preserve">TradeLog-04-09-2026_ME.txt</t>
  </si>
  <si>
    <t xml:space="preserve">Daily Trade Summary — 07 Sep 2026</t>
  </si>
  <si>
    <t xml:space="preserve">TradeLog-07-09-2026_ALL.txt</t>
  </si>
  <si>
    <t xml:space="preserve">Daily Trade Summary — 08 Sep 2026</t>
  </si>
  <si>
    <t xml:space="preserve">TradeLog-08-09-2026_ALL.txt</t>
  </si>
  <si>
    <t xml:space="preserve">Daily Trade Summary — 09 Sep 2026</t>
  </si>
  <si>
    <t xml:space="preserve">TradeLog-09-09-2026_ALL.txt</t>
  </si>
  <si>
    <t xml:space="preserve">Daily Trade Summary — 10 Sep 2026</t>
  </si>
  <si>
    <t xml:space="preserve">TradeLog-10-09-2026_ALL.txt</t>
  </si>
  <si>
    <t xml:space="preserve">Daily Trade Summary — 11 Sep 2026</t>
  </si>
  <si>
    <t xml:space="preserve">TradeLog-11-09-2026_ALL.txt</t>
  </si>
  <si>
    <t xml:space="preserve">Daily Trade Summary — 14 Sep 2026</t>
  </si>
  <si>
    <t xml:space="preserve">TradeLog-14-09-2026_ALL.txt</t>
  </si>
  <si>
    <t xml:space="preserve">Daily Trade Summary — 15 Sep 2026</t>
  </si>
  <si>
    <t xml:space="preserve">TradeLog-15-09-2026_ALL.txt</t>
  </si>
  <si>
    <t xml:space="preserve">Daily Trade Summary — 16 Sep 2026</t>
  </si>
  <si>
    <t xml:space="preserve">TradeLog-16-09-2026_ALL.txt</t>
  </si>
  <si>
    <t xml:space="preserve">Daily Trade Summary — 17 Sep 2026</t>
  </si>
  <si>
    <t xml:space="preserve">TradeLog-17-09-2026_ALL.txt</t>
  </si>
  <si>
    <t xml:space="preserve">Daily Trade Summary — 18 Sep 2026</t>
  </si>
  <si>
    <t xml:space="preserve">TradeLog-18-09-2026_ALL.txt</t>
  </si>
  <si>
    <t xml:space="preserve">Daily Trade Summary — 25 Sep 2026</t>
  </si>
  <si>
    <t xml:space="preserve">TradeLog-25-09-2026_ALL.txt</t>
  </si>
  <si>
    <t xml:space="preserve">Daily Trade Summary — 01 Oct 2026</t>
  </si>
  <si>
    <t xml:space="preserve">TradeLog-01-10-2026_ALL.txt</t>
  </si>
  <si>
    <t xml:space="preserve">Daily Trade Summary — 02 Oct 2026</t>
  </si>
  <si>
    <t xml:space="preserve">TradeLog-02-10-2026_ALL.txt</t>
  </si>
  <si>
    <t xml:space="preserve">Daily Trade Summary — 06 Oct 2026</t>
  </si>
  <si>
    <t xml:space="preserve">TradeLog-06-10-2026_ALL.txt</t>
  </si>
  <si>
    <t xml:space="preserve">Daily Trade Summary — 14 Oct 2026</t>
  </si>
  <si>
    <t xml:space="preserve">TradeLog-14-10-2026_ALL.txt</t>
  </si>
  <si>
    <t xml:space="preserve">Daily Trade Summary — 15 Oct 2026</t>
  </si>
  <si>
    <t xml:space="preserve">TradeLog-15-10-2026_ALL.txt</t>
  </si>
  <si>
    <t xml:space="preserve">Settings &amp; Assumptions</t>
  </si>
  <si>
    <t xml:space="preserve">All commission/tax formulas in this workbook reference these cells (defined names).</t>
  </si>
  <si>
    <t xml:space="preserve">Setting</t>
  </si>
  <si>
    <t xml:space="preserve">Notes</t>
  </si>
  <si>
    <t xml:space="preserve">Commission Slab 1 Upper Rate</t>
  </si>
  <si>
    <t xml:space="preserve">Sell rate 0.00000 – 53.99999 → Slab 1 (sell-side only)</t>
  </si>
  <si>
    <t xml:space="preserve">Commission Slab 1 Rate</t>
  </si>
  <si>
    <t xml:space="preserve">0.0175 paisa per share  →  PKR = Sell Qty × 0.0175 / 100</t>
  </si>
  <si>
    <t xml:space="preserve">Commission Slab 2 Starting Rate</t>
  </si>
  <si>
    <t xml:space="preserve">Sell rate ≥ 54.00000 → Slab 2</t>
  </si>
  <si>
    <t xml:space="preserve">Commission Slab 2 Rate</t>
  </si>
  <si>
    <t xml:space="preserve">0.0325% of sell value (fraction = 0.000325)</t>
  </si>
  <si>
    <t xml:space="preserve">SST Rate</t>
  </si>
  <si>
    <t xml:space="preserve">13% of commission amount</t>
  </si>
  <si>
    <t xml:space="preserve">Paisa per PKR</t>
  </si>
  <si>
    <t xml:space="preserve">100 paisa = 1 PKR</t>
  </si>
  <si>
    <t xml:space="preserve">Currency</t>
  </si>
  <si>
    <t xml:space="preserve">All monetary values in Pakistani Rupees</t>
  </si>
  <si>
    <t xml:space="preserve">Commission Side</t>
  </si>
  <si>
    <t xml:space="preserve">Sell</t>
  </si>
  <si>
    <t xml:space="preserve">Commission is charged on the SELL side only (Sell + Short Sell)</t>
  </si>
  <si>
    <t xml:space="preserve">Methodology &amp; Rules</t>
  </si>
  <si>
    <t xml:space="preserve">1. Trade types: Buy = BUY.  Sell = SELL.  Short Sell = SELL (gross buy/sell flow treatment).</t>
  </si>
  <si>
    <t xml:space="preserve">2. Gross P&amp;L = Sell Value − Buy Value (intraday buy/sell FLOW calculation — not FIFO/average-cost accounting).</t>
  </si>
  <si>
    <t xml:space="preserve">3. Avg Buy / Avg Sell prices are quantity-weighted: Total Value ÷ Total Quantity (never a simple average).</t>
  </si>
  <si>
    <t xml:space="preserve">4. Commission, sell side only. The slab is selected by the sell rate; at symbol-summary level the</t>
  </si>
  <si>
    <t xml:space="preserve">    quantity-weighted average sell rate of the symbol-day decides the slab for that whole day</t>
  </si>
  <si>
    <t xml:space="preserve">    (if a day's fills straddle the 54 boundary, the weighted-average rate decides).</t>
  </si>
  <si>
    <t xml:space="preserve">5. Slab 1 commission = Sell Qty × 0.0175 paisa / 100 (0.000175 PKR/share).  Slab 2 = Sell Value × 0.0325%.</t>
  </si>
  <si>
    <t xml:space="preserve">6. SST = 13% × Commission.  Total Charges = Commission + SST.  Net P&amp;L = Gross P&amp;L − Total Charges.</t>
  </si>
  <si>
    <t xml:space="preserve">7. Return on Buy = Net P&amp;L ÷ Buy Value. Period returns are recomputed from period totals (never averaged).</t>
  </si>
  <si>
    <t xml:space="preserve">8. Executions are deduplicated by Trading Date + Execution ID before summarization (re-uploads change nothing).</t>
  </si>
  <si>
    <t xml:space="preserve">9. One combined 'Daily Trade Summary' sheet holds one block per trading date, newest appended below.</t>
  </si>
  <si>
    <t xml:space="preserve">10. Account isolation: this workbook belongs exclusively to ONE trading account. Incoming files are</t>
  </si>
  <si>
    <t xml:space="preserve">    segregated by account number before import; executions from other accounts never enter this workbook.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</si>
</sst>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#,##0.00"/>
    <numFmt numFmtId="167" formatCode="0.000%"/>
    <numFmt numFmtId="168" formatCode="#,##0"/>
    <numFmt numFmtId="169" formatCode="mmm\-yyyy"/>
    <numFmt numFmtId="170" formatCode="0"/>
    <numFmt numFmtId="171" formatCode="0.0000"/>
    <numFmt numFmtId="172" formatCode="0.000000"/>
    <numFmt numFmtId="173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333333"/>
      <name val="Calibri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sz val="9"/>
      <color rgb="FF595959"/>
      <name val="Cambria"/>
      <family val="0"/>
      <charset val="1"/>
    </font>
    <font>
      <b val="true"/>
      <sz val="10"/>
      <color rgb="FF1F4E78"/>
      <name val="Calibri"/>
      <family val="0"/>
      <charset val="1"/>
    </font>
    <font>
      <sz val="10"/>
      <color rgb="FF40404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1F4E78"/>
      </top>
      <bottom style="double">
        <color rgb="FF1F4E7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b val="1"/>
        <color rgb="FF008000"/>
      </font>
    </dxf>
    <dxf>
      <font>
        <b val="1"/>
        <color rgb="FFC00000"/>
      </font>
    </dxf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40404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3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MAX('Daily Summary'!$A$5:$A$404)</f>
        <v>46310</v>
      </c>
    </row>
    <row r="6" customFormat="false" ht="15" hidden="false" customHeight="false" outlineLevel="0" collapsed="false">
      <c r="A6" s="5" t="s">
        <v>3</v>
      </c>
      <c r="B6" s="5"/>
      <c r="D6" s="5" t="s">
        <v>4</v>
      </c>
      <c r="E6" s="5"/>
      <c r="F6" s="5"/>
    </row>
    <row r="7" customFormat="false" ht="15" hidden="false" customHeight="false" outlineLevel="0" collapsed="false">
      <c r="A7" s="6" t="s">
        <v>5</v>
      </c>
      <c r="B7" s="7" t="n">
        <f aca="false">'Daily Summary'!E24</f>
        <v>2639830</v>
      </c>
      <c r="D7" s="8" t="s">
        <v>6</v>
      </c>
      <c r="E7" s="8" t="s">
        <v>7</v>
      </c>
      <c r="F7" s="8" t="s">
        <v>8</v>
      </c>
    </row>
    <row r="8" customFormat="false" ht="15" hidden="false" customHeight="false" outlineLevel="0" collapsed="false">
      <c r="A8" s="6" t="s">
        <v>9</v>
      </c>
      <c r="B8" s="7" t="n">
        <f aca="false">'Daily Summary'!F24</f>
        <v>2639997.1</v>
      </c>
      <c r="D8" s="6" t="s">
        <v>10</v>
      </c>
      <c r="E8" s="9" t="n">
        <f aca="false">'MTD Summary'!$B$19</f>
        <v>3559.69535259016</v>
      </c>
      <c r="F8" s="10" t="n">
        <f aca="false">'MTD Summary'!$B$20</f>
        <v>0.000173092168119081</v>
      </c>
    </row>
    <row r="9" customFormat="false" ht="15" hidden="false" customHeight="false" outlineLevel="0" collapsed="false">
      <c r="A9" s="6" t="s">
        <v>11</v>
      </c>
      <c r="B9" s="7" t="n">
        <f aca="false">'Daily Summary'!G24</f>
        <v>167.100000000093</v>
      </c>
      <c r="D9" s="6" t="s">
        <v>12</v>
      </c>
      <c r="E9" s="9" t="n">
        <f aca="false">'QTD Summary'!$B$19</f>
        <v>3559.69535259016</v>
      </c>
      <c r="F9" s="10" t="n">
        <f aca="false">'QTD Summary'!$B$20</f>
        <v>0.000173092168119081</v>
      </c>
    </row>
    <row r="10" customFormat="false" ht="15" hidden="false" customHeight="false" outlineLevel="0" collapsed="false">
      <c r="A10" s="6" t="s">
        <v>13</v>
      </c>
      <c r="B10" s="7" t="n">
        <f aca="false">'Daily Summary'!H24</f>
        <v>857.9990575</v>
      </c>
      <c r="D10" s="6" t="s">
        <v>14</v>
      </c>
      <c r="E10" s="9" t="n">
        <f aca="false">'YTD Summary'!$B$19</f>
        <v>35658.9535373075</v>
      </c>
      <c r="F10" s="10" t="n">
        <f aca="false">'YTD Summary'!$B$20</f>
        <v>0.000476939523766726</v>
      </c>
    </row>
    <row r="11" customFormat="false" ht="15" hidden="false" customHeight="false" outlineLevel="0" collapsed="false">
      <c r="A11" s="6" t="s">
        <v>15</v>
      </c>
      <c r="B11" s="7" t="n">
        <f aca="false">'Daily Summary'!I24</f>
        <v>111.539877475</v>
      </c>
    </row>
    <row r="12" customFormat="false" ht="15" hidden="false" customHeight="false" outlineLevel="0" collapsed="false">
      <c r="A12" s="6" t="s">
        <v>16</v>
      </c>
      <c r="B12" s="7" t="n">
        <f aca="false">'Daily Summary'!K24</f>
        <v>-802.438934974907</v>
      </c>
      <c r="D12" s="5" t="s">
        <v>17</v>
      </c>
      <c r="E12" s="5"/>
      <c r="F12" s="5"/>
    </row>
    <row r="13" customFormat="false" ht="15" hidden="false" customHeight="false" outlineLevel="0" collapsed="false">
      <c r="A13" s="6" t="s">
        <v>8</v>
      </c>
      <c r="B13" s="11" t="n">
        <f aca="false">'Daily Summary'!L24</f>
        <v>-0.000303973716101002</v>
      </c>
      <c r="D13" s="6" t="s">
        <v>18</v>
      </c>
      <c r="E13" s="7" t="n">
        <f aca="false">'Daily Summary'!$E$25+'Daily Summary'!$F$25</f>
        <v>149595229.54</v>
      </c>
      <c r="F13" s="7"/>
    </row>
    <row r="14" customFormat="false" ht="15" hidden="false" customHeight="false" outlineLevel="0" collapsed="false">
      <c r="D14" s="6" t="s">
        <v>19</v>
      </c>
      <c r="E14" s="12" t="n">
        <v>597</v>
      </c>
      <c r="F14" s="12"/>
    </row>
    <row r="15" customFormat="false" ht="15" hidden="false" customHeight="false" outlineLevel="0" collapsed="false">
      <c r="D15" s="6" t="s">
        <v>20</v>
      </c>
      <c r="E15" s="12" t="n">
        <f aca="false">COUNTA('Symbol Performance'!$A$5:$A$35)</f>
        <v>31</v>
      </c>
      <c r="F15" s="12"/>
    </row>
    <row r="16" customFormat="false" ht="15" hidden="false" customHeight="false" outlineLevel="0" collapsed="false">
      <c r="D16" s="6" t="s">
        <v>21</v>
      </c>
      <c r="E16" s="12" t="n">
        <f aca="false">COUNT('Daily Summary'!$A$5:$A$404)</f>
        <v>20</v>
      </c>
      <c r="F16" s="12"/>
    </row>
    <row r="18" customFormat="false" ht="15" hidden="false" customHeight="false" outlineLevel="0" collapsed="false">
      <c r="D18" s="5" t="s">
        <v>22</v>
      </c>
      <c r="E18" s="5"/>
      <c r="F18" s="5"/>
    </row>
    <row r="19" customFormat="false" ht="15" hidden="false" customHeight="false" outlineLevel="0" collapsed="false">
      <c r="D19" s="6" t="s">
        <v>23</v>
      </c>
      <c r="E19" s="13" t="str">
        <f aca="false">INDEX('Symbol Performance'!$A$5:$A$35,MATCH(MAX('Symbol Performance'!$I$5:$I$35),'Symbol Performance'!$I$5:$I$35,0))</f>
        <v>PRL-SEP</v>
      </c>
      <c r="F19" s="14" t="n">
        <f aca="false">MAX('Symbol Performance'!$I$5:$I$35)</f>
        <v>14448.498035</v>
      </c>
    </row>
    <row r="20" customFormat="false" ht="15" hidden="false" customHeight="false" outlineLevel="0" collapsed="false">
      <c r="D20" s="6" t="s">
        <v>24</v>
      </c>
      <c r="E20" s="15" t="str">
        <f aca="false">INDEX('Symbol Performance'!$A$5:$A$35,MATCH(MIN('Symbol Performance'!$I$5:$I$35),'Symbol Performance'!$I$5:$I$35,0))</f>
        <v>PRL-OCT</v>
      </c>
      <c r="F20" s="16" t="n">
        <f aca="false">MIN('Symbol Performance'!$I$5:$I$35)</f>
        <v>-3772.9294025</v>
      </c>
    </row>
    <row r="22" customFormat="false" ht="15" hidden="false" customHeight="false" outlineLevel="0" collapsed="false">
      <c r="A22" s="17" t="s">
        <v>25</v>
      </c>
      <c r="B22" s="17"/>
      <c r="C22" s="17"/>
      <c r="D22" s="17"/>
      <c r="E22" s="17"/>
      <c r="F22" s="17"/>
    </row>
    <row r="23" customFormat="false" ht="15" hidden="false" customHeight="false" outlineLevel="0" collapsed="false">
      <c r="A23" s="17" t="s">
        <v>26</v>
      </c>
      <c r="B23" s="17"/>
      <c r="C23" s="17"/>
      <c r="D23" s="17"/>
      <c r="E23" s="17"/>
      <c r="F23" s="17"/>
    </row>
    <row r="24" customFormat="false" ht="15" hidden="false" customHeight="false" outlineLevel="0" collapsed="false">
      <c r="A24" s="17" t="s">
        <v>27</v>
      </c>
      <c r="B24" s="17"/>
      <c r="C24" s="17"/>
      <c r="D24" s="17"/>
      <c r="E24" s="17"/>
      <c r="F24" s="17"/>
    </row>
    <row r="25" customFormat="false" ht="15" hidden="false" customHeight="false" outlineLevel="0" collapsed="false">
      <c r="A25" s="17" t="s">
        <v>28</v>
      </c>
      <c r="B25" s="17"/>
      <c r="C25" s="17"/>
      <c r="D25" s="17"/>
      <c r="E25" s="17"/>
      <c r="F25" s="17"/>
    </row>
    <row r="26" customFormat="false" ht="15" hidden="false" customHeight="false" outlineLevel="0" collapsed="false">
      <c r="A26" s="17" t="s">
        <v>29</v>
      </c>
      <c r="B26" s="17"/>
      <c r="C26" s="17"/>
      <c r="D26" s="17"/>
      <c r="E26" s="17"/>
      <c r="F26" s="17"/>
    </row>
  </sheetData>
  <mergeCells count="13">
    <mergeCell ref="A6:B6"/>
    <mergeCell ref="D6:F6"/>
    <mergeCell ref="D12:F12"/>
    <mergeCell ref="E13:F13"/>
    <mergeCell ref="E14:F14"/>
    <mergeCell ref="E15:F15"/>
    <mergeCell ref="E16:F16"/>
    <mergeCell ref="D18:F18"/>
    <mergeCell ref="A22:F22"/>
    <mergeCell ref="A23:F23"/>
    <mergeCell ref="A24:F24"/>
    <mergeCell ref="A25:F25"/>
    <mergeCell ref="A26:F26"/>
  </mergeCells>
  <conditionalFormatting sqref="B9:B13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E8:F10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0"/>
    <col collapsed="false" customWidth="true" hidden="false" outlineLevel="0" max="4" min="4" style="0" width="9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11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30" hidden="false" customHeight="true" outlineLevel="0" collapsed="false">
      <c r="A4" s="18" t="s">
        <v>32</v>
      </c>
      <c r="B4" s="18" t="s">
        <v>33</v>
      </c>
      <c r="C4" s="18" t="s">
        <v>34</v>
      </c>
      <c r="D4" s="18" t="s">
        <v>35</v>
      </c>
      <c r="E4" s="18" t="s">
        <v>36</v>
      </c>
      <c r="F4" s="18" t="s">
        <v>37</v>
      </c>
      <c r="G4" s="18" t="s">
        <v>38</v>
      </c>
      <c r="H4" s="18" t="s">
        <v>39</v>
      </c>
      <c r="I4" s="18" t="s">
        <v>40</v>
      </c>
      <c r="J4" s="18" t="s">
        <v>41</v>
      </c>
      <c r="K4" s="18" t="s">
        <v>7</v>
      </c>
      <c r="L4" s="18" t="s">
        <v>8</v>
      </c>
    </row>
    <row r="5" customFormat="false" ht="15" hidden="false" customHeight="false" outlineLevel="0" collapsed="false">
      <c r="A5" s="19" t="n">
        <v>46258</v>
      </c>
      <c r="B5" s="20" t="n">
        <f aca="false">'Daily Trade Summary'!B15</f>
        <v>2500</v>
      </c>
      <c r="C5" s="20" t="n">
        <f aca="false">'Daily Trade Summary'!E15</f>
        <v>2500</v>
      </c>
      <c r="D5" s="20" t="n">
        <f aca="false">'Daily Trade Summary'!I15</f>
        <v>0</v>
      </c>
      <c r="E5" s="21" t="n">
        <f aca="false">'Daily Trade Summary'!C15</f>
        <v>830250</v>
      </c>
      <c r="F5" s="21" t="n">
        <f aca="false">'Daily Trade Summary'!F15</f>
        <v>830975</v>
      </c>
      <c r="G5" s="21" t="n">
        <f aca="false">'Daily Trade Summary'!J15</f>
        <v>725</v>
      </c>
      <c r="H5" s="21" t="n">
        <f aca="false">'Daily Trade Summary'!L15</f>
        <v>270.066875</v>
      </c>
      <c r="I5" s="21" t="n">
        <f aca="false">'Daily Trade Summary'!M15</f>
        <v>35.10869375</v>
      </c>
      <c r="J5" s="21" t="n">
        <f aca="false">'Daily Trade Summary'!N15</f>
        <v>305.17556875</v>
      </c>
      <c r="K5" s="21" t="n">
        <f aca="false">'Daily Trade Summary'!O15</f>
        <v>419.82443125</v>
      </c>
      <c r="L5" s="22" t="n">
        <f aca="false">IF($E5=0,"",$K5/$E5)</f>
        <v>0.000505660260463716</v>
      </c>
    </row>
    <row r="6" customFormat="false" ht="15" hidden="false" customHeight="false" outlineLevel="0" collapsed="false">
      <c r="A6" s="19" t="n">
        <v>46261</v>
      </c>
      <c r="B6" s="20" t="n">
        <f aca="false">'Daily Trade Summary'!B33</f>
        <v>42890</v>
      </c>
      <c r="C6" s="20" t="n">
        <f aca="false">'Daily Trade Summary'!E33</f>
        <v>42890</v>
      </c>
      <c r="D6" s="20" t="n">
        <f aca="false">'Daily Trade Summary'!I33</f>
        <v>0</v>
      </c>
      <c r="E6" s="21" t="n">
        <f aca="false">'Daily Trade Summary'!C33</f>
        <v>4333064</v>
      </c>
      <c r="F6" s="21" t="n">
        <f aca="false">'Daily Trade Summary'!F33</f>
        <v>4339589.4</v>
      </c>
      <c r="G6" s="21" t="n">
        <f aca="false">'Daily Trade Summary'!J33</f>
        <v>6525.40000000002</v>
      </c>
      <c r="H6" s="21" t="n">
        <f aca="false">'Daily Trade Summary'!L33</f>
        <v>1410.366555</v>
      </c>
      <c r="I6" s="21" t="n">
        <f aca="false">'Daily Trade Summary'!M33</f>
        <v>183.34765215</v>
      </c>
      <c r="J6" s="21" t="n">
        <f aca="false">'Daily Trade Summary'!N33</f>
        <v>1593.71420715</v>
      </c>
      <c r="K6" s="21" t="n">
        <f aca="false">'Daily Trade Summary'!O33</f>
        <v>4931.68579285002</v>
      </c>
      <c r="L6" s="22" t="n">
        <f aca="false">IF($E6=0,"",$K6/$E6)</f>
        <v>0.00113815207734066</v>
      </c>
    </row>
    <row r="7" customFormat="false" ht="15" hidden="false" customHeight="false" outlineLevel="0" collapsed="false">
      <c r="A7" s="19" t="n">
        <v>46267</v>
      </c>
      <c r="B7" s="20" t="n">
        <f aca="false">'Daily Trade Summary'!B51</f>
        <v>15000</v>
      </c>
      <c r="C7" s="20" t="n">
        <f aca="false">'Daily Trade Summary'!E51</f>
        <v>15000</v>
      </c>
      <c r="D7" s="20" t="n">
        <f aca="false">'Daily Trade Summary'!I51</f>
        <v>0</v>
      </c>
      <c r="E7" s="21" t="n">
        <f aca="false">'Daily Trade Summary'!C51</f>
        <v>2141410</v>
      </c>
      <c r="F7" s="21" t="n">
        <f aca="false">'Daily Trade Summary'!F51</f>
        <v>2144500.65</v>
      </c>
      <c r="G7" s="21" t="n">
        <f aca="false">'Daily Trade Summary'!J51</f>
        <v>3090.65000000002</v>
      </c>
      <c r="H7" s="21" t="n">
        <f aca="false">'Daily Trade Summary'!L51</f>
        <v>696.96271125</v>
      </c>
      <c r="I7" s="21" t="n">
        <f aca="false">'Daily Trade Summary'!M51</f>
        <v>90.6051524625</v>
      </c>
      <c r="J7" s="21" t="n">
        <f aca="false">'Daily Trade Summary'!N51</f>
        <v>787.5678637125</v>
      </c>
      <c r="K7" s="21" t="n">
        <f aca="false">'Daily Trade Summary'!O51</f>
        <v>2303.08213628752</v>
      </c>
      <c r="L7" s="22" t="n">
        <f aca="false">IF($E7=0,"",$K7/$E7)</f>
        <v>0.00107549798323886</v>
      </c>
    </row>
    <row r="8" customFormat="false" ht="15" hidden="false" customHeight="false" outlineLevel="0" collapsed="false">
      <c r="A8" s="19" t="n">
        <v>46269</v>
      </c>
      <c r="B8" s="20" t="n">
        <f aca="false">'Daily Trade Summary'!B70</f>
        <v>27500</v>
      </c>
      <c r="C8" s="20" t="n">
        <f aca="false">'Daily Trade Summary'!E70</f>
        <v>27500</v>
      </c>
      <c r="D8" s="20" t="n">
        <f aca="false">'Daily Trade Summary'!I70</f>
        <v>0</v>
      </c>
      <c r="E8" s="21" t="n">
        <f aca="false">'Daily Trade Summary'!C70</f>
        <v>5365575</v>
      </c>
      <c r="F8" s="21" t="n">
        <f aca="false">'Daily Trade Summary'!F70</f>
        <v>5376050</v>
      </c>
      <c r="G8" s="21" t="n">
        <f aca="false">'Daily Trade Summary'!J70</f>
        <v>10475</v>
      </c>
      <c r="H8" s="21" t="n">
        <f aca="false">'Daily Trade Summary'!L70</f>
        <v>1747.21625</v>
      </c>
      <c r="I8" s="21" t="n">
        <f aca="false">'Daily Trade Summary'!M70</f>
        <v>227.1381125</v>
      </c>
      <c r="J8" s="21" t="n">
        <f aca="false">'Daily Trade Summary'!N70</f>
        <v>1974.3543625</v>
      </c>
      <c r="K8" s="21" t="n">
        <f aca="false">'Daily Trade Summary'!O70</f>
        <v>8500.6456375</v>
      </c>
      <c r="L8" s="22" t="n">
        <f aca="false">IF($E8=0,"",$K8/$E8)</f>
        <v>0.00158429350768557</v>
      </c>
    </row>
    <row r="9" customFormat="false" ht="15" hidden="false" customHeight="false" outlineLevel="0" collapsed="false">
      <c r="A9" s="19" t="n">
        <v>46272</v>
      </c>
      <c r="B9" s="20" t="n">
        <f aca="false">'Daily Trade Summary'!B88</f>
        <v>7500</v>
      </c>
      <c r="C9" s="20" t="n">
        <f aca="false">'Daily Trade Summary'!E88</f>
        <v>7500</v>
      </c>
      <c r="D9" s="20" t="n">
        <f aca="false">'Daily Trade Summary'!I88</f>
        <v>0</v>
      </c>
      <c r="E9" s="21" t="n">
        <f aca="false">'Daily Trade Summary'!C88</f>
        <v>3022230</v>
      </c>
      <c r="F9" s="21" t="n">
        <f aca="false">'Daily Trade Summary'!F88</f>
        <v>3025610</v>
      </c>
      <c r="G9" s="21" t="n">
        <f aca="false">'Daily Trade Summary'!J88</f>
        <v>3380</v>
      </c>
      <c r="H9" s="21" t="n">
        <f aca="false">'Daily Trade Summary'!L88</f>
        <v>983.32325</v>
      </c>
      <c r="I9" s="21" t="n">
        <f aca="false">'Daily Trade Summary'!M88</f>
        <v>127.8320225</v>
      </c>
      <c r="J9" s="21" t="n">
        <f aca="false">'Daily Trade Summary'!N88</f>
        <v>1111.1552725</v>
      </c>
      <c r="K9" s="21" t="n">
        <f aca="false">'Daily Trade Summary'!O88</f>
        <v>2268.8447275</v>
      </c>
      <c r="L9" s="22" t="n">
        <f aca="false">IF($E9=0,"",$K9/$E9)</f>
        <v>0.0007507187498966</v>
      </c>
    </row>
    <row r="10" customFormat="false" ht="15" hidden="false" customHeight="false" outlineLevel="0" collapsed="false">
      <c r="A10" s="19" t="n">
        <v>46273</v>
      </c>
      <c r="B10" s="20" t="n">
        <f aca="false">'Daily Trade Summary'!B105</f>
        <v>500</v>
      </c>
      <c r="C10" s="20" t="n">
        <f aca="false">'Daily Trade Summary'!E105</f>
        <v>500</v>
      </c>
      <c r="D10" s="20" t="n">
        <f aca="false">'Daily Trade Summary'!I105</f>
        <v>0</v>
      </c>
      <c r="E10" s="21" t="n">
        <f aca="false">'Daily Trade Summary'!C105</f>
        <v>252000</v>
      </c>
      <c r="F10" s="21" t="n">
        <f aca="false">'Daily Trade Summary'!F105</f>
        <v>252125</v>
      </c>
      <c r="G10" s="21" t="n">
        <f aca="false">'Daily Trade Summary'!J105</f>
        <v>125</v>
      </c>
      <c r="H10" s="21" t="n">
        <f aca="false">'Daily Trade Summary'!L105</f>
        <v>81.940625</v>
      </c>
      <c r="I10" s="21" t="n">
        <f aca="false">'Daily Trade Summary'!M105</f>
        <v>10.65228125</v>
      </c>
      <c r="J10" s="21" t="n">
        <f aca="false">'Daily Trade Summary'!N105</f>
        <v>92.59290625</v>
      </c>
      <c r="K10" s="21" t="n">
        <f aca="false">'Daily Trade Summary'!O105</f>
        <v>32.40709375</v>
      </c>
      <c r="L10" s="22" t="n">
        <f aca="false">IF($E10=0,"",$K10/$E10)</f>
        <v>0.000128599578373016</v>
      </c>
    </row>
    <row r="11" customFormat="false" ht="15" hidden="false" customHeight="false" outlineLevel="0" collapsed="false">
      <c r="A11" s="19" t="n">
        <v>46274</v>
      </c>
      <c r="B11" s="20" t="n">
        <f aca="false">'Daily Trade Summary'!B124</f>
        <v>38504</v>
      </c>
      <c r="C11" s="20" t="n">
        <f aca="false">'Daily Trade Summary'!E124</f>
        <v>38504</v>
      </c>
      <c r="D11" s="20" t="n">
        <f aca="false">'Daily Trade Summary'!I124</f>
        <v>0</v>
      </c>
      <c r="E11" s="21" t="n">
        <f aca="false">'Daily Trade Summary'!C124</f>
        <v>3738415.47</v>
      </c>
      <c r="F11" s="21" t="n">
        <f aca="false">'Daily Trade Summary'!F124</f>
        <v>3741478.2</v>
      </c>
      <c r="G11" s="21" t="n">
        <f aca="false">'Daily Trade Summary'!J124</f>
        <v>3062.72999999999</v>
      </c>
      <c r="H11" s="21" t="n">
        <f aca="false">'Daily Trade Summary'!L124</f>
        <v>1215.980415</v>
      </c>
      <c r="I11" s="21" t="n">
        <f aca="false">'Daily Trade Summary'!M124</f>
        <v>158.07745395</v>
      </c>
      <c r="J11" s="21" t="n">
        <f aca="false">'Daily Trade Summary'!N124</f>
        <v>1374.05786895</v>
      </c>
      <c r="K11" s="21" t="n">
        <f aca="false">'Daily Trade Summary'!O124</f>
        <v>1688.67213104999</v>
      </c>
      <c r="L11" s="22" t="n">
        <f aca="false">IF($E11=0,"",$K11/$E11)</f>
        <v>0.000451707988210842</v>
      </c>
    </row>
    <row r="12" customFormat="false" ht="15" hidden="false" customHeight="false" outlineLevel="0" collapsed="false">
      <c r="A12" s="19" t="n">
        <v>46275</v>
      </c>
      <c r="B12" s="20" t="n">
        <f aca="false">'Daily Trade Summary'!B149</f>
        <v>69500</v>
      </c>
      <c r="C12" s="20" t="n">
        <f aca="false">'Daily Trade Summary'!E149</f>
        <v>69500</v>
      </c>
      <c r="D12" s="20" t="n">
        <f aca="false">'Daily Trade Summary'!I149</f>
        <v>0</v>
      </c>
      <c r="E12" s="21" t="n">
        <f aca="false">'Daily Trade Summary'!C149</f>
        <v>11274470</v>
      </c>
      <c r="F12" s="21" t="n">
        <f aca="false">'Daily Trade Summary'!F149</f>
        <v>11286869.25</v>
      </c>
      <c r="G12" s="21" t="n">
        <f aca="false">'Daily Trade Summary'!J149</f>
        <v>12399.2499999999</v>
      </c>
      <c r="H12" s="21" t="n">
        <f aca="false">'Daily Trade Summary'!L149</f>
        <v>3668.23250625</v>
      </c>
      <c r="I12" s="21" t="n">
        <f aca="false">'Daily Trade Summary'!M149</f>
        <v>476.8702258125</v>
      </c>
      <c r="J12" s="21" t="n">
        <f aca="false">'Daily Trade Summary'!N149</f>
        <v>4145.1027320625</v>
      </c>
      <c r="K12" s="21" t="n">
        <f aca="false">'Daily Trade Summary'!O149</f>
        <v>8254.14726793738</v>
      </c>
      <c r="L12" s="22" t="n">
        <f aca="false">IF($E12=0,"",$K12/$E12)</f>
        <v>0.000732109559734283</v>
      </c>
    </row>
    <row r="13" customFormat="false" ht="15" hidden="false" customHeight="false" outlineLevel="0" collapsed="false">
      <c r="A13" s="19" t="n">
        <v>46276</v>
      </c>
      <c r="B13" s="20" t="n">
        <f aca="false">'Daily Trade Summary'!B172</f>
        <v>74687</v>
      </c>
      <c r="C13" s="20" t="n">
        <f aca="false">'Daily Trade Summary'!E172</f>
        <v>74687</v>
      </c>
      <c r="D13" s="20" t="n">
        <f aca="false">'Daily Trade Summary'!I172</f>
        <v>0</v>
      </c>
      <c r="E13" s="21" t="n">
        <f aca="false">'Daily Trade Summary'!C172</f>
        <v>7845134.94</v>
      </c>
      <c r="F13" s="21" t="n">
        <f aca="false">'Daily Trade Summary'!F172</f>
        <v>7844789.99</v>
      </c>
      <c r="G13" s="21" t="n">
        <f aca="false">'Daily Trade Summary'!J172</f>
        <v>-344.949999999983</v>
      </c>
      <c r="H13" s="21" t="n">
        <f aca="false">'Daily Trade Summary'!L172</f>
        <v>2549.55674675</v>
      </c>
      <c r="I13" s="21" t="n">
        <f aca="false">'Daily Trade Summary'!M172</f>
        <v>331.4423770775</v>
      </c>
      <c r="J13" s="21" t="n">
        <f aca="false">'Daily Trade Summary'!N172</f>
        <v>2880.9991238275</v>
      </c>
      <c r="K13" s="21" t="n">
        <f aca="false">'Daily Trade Summary'!O172</f>
        <v>-3225.94912382748</v>
      </c>
      <c r="L13" s="22" t="n">
        <f aca="false">IF($E13=0,"",$K13/$E13)</f>
        <v>-0.000411203777691488</v>
      </c>
    </row>
    <row r="14" customFormat="false" ht="15" hidden="false" customHeight="false" outlineLevel="0" collapsed="false">
      <c r="A14" s="19" t="n">
        <v>46279</v>
      </c>
      <c r="B14" s="20" t="n">
        <f aca="false">'Daily Trade Summary'!B189</f>
        <v>1000</v>
      </c>
      <c r="C14" s="20" t="n">
        <f aca="false">'Daily Trade Summary'!E189</f>
        <v>1000</v>
      </c>
      <c r="D14" s="20" t="n">
        <f aca="false">'Daily Trade Summary'!I189</f>
        <v>0</v>
      </c>
      <c r="E14" s="21" t="n">
        <f aca="false">'Daily Trade Summary'!C189</f>
        <v>536000</v>
      </c>
      <c r="F14" s="21" t="n">
        <f aca="false">'Daily Trade Summary'!F189</f>
        <v>536990</v>
      </c>
      <c r="G14" s="21" t="n">
        <f aca="false">'Daily Trade Summary'!J189</f>
        <v>990</v>
      </c>
      <c r="H14" s="21" t="n">
        <f aca="false">'Daily Trade Summary'!L189</f>
        <v>174.52175</v>
      </c>
      <c r="I14" s="21" t="n">
        <f aca="false">'Daily Trade Summary'!M189</f>
        <v>22.6878275</v>
      </c>
      <c r="J14" s="21" t="n">
        <f aca="false">'Daily Trade Summary'!N189</f>
        <v>197.2095775</v>
      </c>
      <c r="K14" s="21" t="n">
        <f aca="false">'Daily Trade Summary'!O189</f>
        <v>792.7904225</v>
      </c>
      <c r="L14" s="22" t="n">
        <f aca="false">IF($E14=0,"",$K14/$E14)</f>
        <v>0.00147908660914179</v>
      </c>
    </row>
    <row r="15" customFormat="false" ht="15" hidden="false" customHeight="false" outlineLevel="0" collapsed="false">
      <c r="A15" s="19" t="n">
        <v>46280</v>
      </c>
      <c r="B15" s="20" t="n">
        <f aca="false">'Daily Trade Summary'!B210</f>
        <v>16688</v>
      </c>
      <c r="C15" s="20" t="n">
        <f aca="false">'Daily Trade Summary'!E210</f>
        <v>16688</v>
      </c>
      <c r="D15" s="20" t="n">
        <f aca="false">'Daily Trade Summary'!I210</f>
        <v>0</v>
      </c>
      <c r="E15" s="21" t="n">
        <f aca="false">'Daily Trade Summary'!C210</f>
        <v>2198053.98</v>
      </c>
      <c r="F15" s="21" t="n">
        <f aca="false">'Daily Trade Summary'!F210</f>
        <v>2201882.45</v>
      </c>
      <c r="G15" s="21" t="n">
        <f aca="false">'Daily Trade Summary'!J210</f>
        <v>3828.47</v>
      </c>
      <c r="H15" s="21" t="n">
        <f aca="false">'Daily Trade Summary'!L210</f>
        <v>715.61179625</v>
      </c>
      <c r="I15" s="21" t="n">
        <f aca="false">'Daily Trade Summary'!M210</f>
        <v>93.0295335125</v>
      </c>
      <c r="J15" s="21" t="n">
        <f aca="false">'Daily Trade Summary'!N210</f>
        <v>808.6413297625</v>
      </c>
      <c r="K15" s="21" t="n">
        <f aca="false">'Daily Trade Summary'!O210</f>
        <v>3019.8286702375</v>
      </c>
      <c r="L15" s="22" t="n">
        <f aca="false">IF($E15=0,"",$K15/$E15)</f>
        <v>0.00137386465378684</v>
      </c>
    </row>
    <row r="16" customFormat="false" ht="15" hidden="false" customHeight="false" outlineLevel="0" collapsed="false">
      <c r="A16" s="19" t="n">
        <v>46281</v>
      </c>
      <c r="B16" s="20" t="n">
        <f aca="false">'Daily Trade Summary'!B227</f>
        <v>2500</v>
      </c>
      <c r="C16" s="20" t="n">
        <f aca="false">'Daily Trade Summary'!E227</f>
        <v>2500</v>
      </c>
      <c r="D16" s="20" t="n">
        <f aca="false">'Daily Trade Summary'!I227</f>
        <v>0</v>
      </c>
      <c r="E16" s="21" t="n">
        <f aca="false">'Daily Trade Summary'!C227</f>
        <v>475972</v>
      </c>
      <c r="F16" s="21" t="n">
        <f aca="false">'Daily Trade Summary'!F227</f>
        <v>479750</v>
      </c>
      <c r="G16" s="21" t="n">
        <f aca="false">'Daily Trade Summary'!J227</f>
        <v>3778</v>
      </c>
      <c r="H16" s="21" t="n">
        <f aca="false">'Daily Trade Summary'!L227</f>
        <v>155.91875</v>
      </c>
      <c r="I16" s="21" t="n">
        <f aca="false">'Daily Trade Summary'!M227</f>
        <v>20.2694375</v>
      </c>
      <c r="J16" s="21" t="n">
        <f aca="false">'Daily Trade Summary'!N227</f>
        <v>176.1881875</v>
      </c>
      <c r="K16" s="21" t="n">
        <f aca="false">'Daily Trade Summary'!O227</f>
        <v>3601.8118125</v>
      </c>
      <c r="L16" s="22" t="n">
        <f aca="false">IF($E16=0,"",$K16/$E16)</f>
        <v>0.00756727667278748</v>
      </c>
    </row>
    <row r="17" customFormat="false" ht="15" hidden="false" customHeight="false" outlineLevel="0" collapsed="false">
      <c r="A17" s="19" t="n">
        <v>46282</v>
      </c>
      <c r="B17" s="20" t="n">
        <f aca="false">'Daily Trade Summary'!B248</f>
        <v>35054</v>
      </c>
      <c r="C17" s="20" t="n">
        <f aca="false">'Daily Trade Summary'!E248</f>
        <v>35054</v>
      </c>
      <c r="D17" s="20" t="n">
        <f aca="false">'Daily Trade Summary'!I248</f>
        <v>0</v>
      </c>
      <c r="E17" s="21" t="n">
        <f aca="false">'Daily Trade Summary'!C248</f>
        <v>4617217.74</v>
      </c>
      <c r="F17" s="21" t="n">
        <f aca="false">'Daily Trade Summary'!F248</f>
        <v>4615480.83</v>
      </c>
      <c r="G17" s="21" t="n">
        <f aca="false">'Daily Trade Summary'!J248</f>
        <v>-1736.91000000003</v>
      </c>
      <c r="H17" s="21" t="n">
        <f aca="false">'Daily Trade Summary'!L248</f>
        <v>1401.99976975</v>
      </c>
      <c r="I17" s="21" t="n">
        <f aca="false">'Daily Trade Summary'!M248</f>
        <v>182.2599700675</v>
      </c>
      <c r="J17" s="21" t="n">
        <f aca="false">'Daily Trade Summary'!N248</f>
        <v>1584.2597398175</v>
      </c>
      <c r="K17" s="21" t="n">
        <f aca="false">'Daily Trade Summary'!O248</f>
        <v>-3321.16973981753</v>
      </c>
      <c r="L17" s="22" t="n">
        <f aca="false">IF($E17=0,"",$K17/$E17)</f>
        <v>-0.000719301087112589</v>
      </c>
    </row>
    <row r="18" customFormat="false" ht="15" hidden="false" customHeight="false" outlineLevel="0" collapsed="false">
      <c r="A18" s="19" t="n">
        <v>46283</v>
      </c>
      <c r="B18" s="20" t="n">
        <f aca="false">'Daily Trade Summary'!B272</f>
        <v>30500</v>
      </c>
      <c r="C18" s="20" t="n">
        <f aca="false">'Daily Trade Summary'!E272</f>
        <v>30500</v>
      </c>
      <c r="D18" s="20" t="n">
        <f aca="false">'Daily Trade Summary'!I272</f>
        <v>0</v>
      </c>
      <c r="E18" s="21" t="n">
        <f aca="false">'Daily Trade Summary'!C272</f>
        <v>4676905</v>
      </c>
      <c r="F18" s="21" t="n">
        <f aca="false">'Daily Trade Summary'!F272</f>
        <v>4678375</v>
      </c>
      <c r="G18" s="21" t="n">
        <f aca="false">'Daily Trade Summary'!J272</f>
        <v>1470</v>
      </c>
      <c r="H18" s="21" t="n">
        <f aca="false">'Daily Trade Summary'!L272</f>
        <v>1520.471875</v>
      </c>
      <c r="I18" s="21" t="n">
        <f aca="false">'Daily Trade Summary'!M272</f>
        <v>197.66134375</v>
      </c>
      <c r="J18" s="21" t="n">
        <f aca="false">'Daily Trade Summary'!N272</f>
        <v>1718.13321875</v>
      </c>
      <c r="K18" s="21" t="n">
        <f aca="false">'Daily Trade Summary'!O272</f>
        <v>-248.13321875</v>
      </c>
      <c r="L18" s="22" t="n">
        <f aca="false">IF($E18=0,"",$K18/$E18)</f>
        <v>-5.30550051262533E-005</v>
      </c>
    </row>
    <row r="19" customFormat="false" ht="15" hidden="false" customHeight="false" outlineLevel="0" collapsed="false">
      <c r="A19" s="19" t="n">
        <v>46290</v>
      </c>
      <c r="B19" s="20" t="n">
        <f aca="false">'Daily Trade Summary'!B291</f>
        <v>8500</v>
      </c>
      <c r="C19" s="20" t="n">
        <f aca="false">'Daily Trade Summary'!E291</f>
        <v>8500</v>
      </c>
      <c r="D19" s="20" t="n">
        <f aca="false">'Daily Trade Summary'!I291</f>
        <v>0</v>
      </c>
      <c r="E19" s="21" t="n">
        <f aca="false">'Daily Trade Summary'!C291</f>
        <v>2894179.82</v>
      </c>
      <c r="F19" s="21" t="n">
        <f aca="false">'Daily Trade Summary'!F291</f>
        <v>2898325</v>
      </c>
      <c r="G19" s="21" t="n">
        <f aca="false">'Daily Trade Summary'!J291</f>
        <v>4145.17999999994</v>
      </c>
      <c r="H19" s="21" t="n">
        <f aca="false">'Daily Trade Summary'!L291</f>
        <v>941.955625</v>
      </c>
      <c r="I19" s="21" t="n">
        <f aca="false">'Daily Trade Summary'!M291</f>
        <v>122.45423125</v>
      </c>
      <c r="J19" s="21" t="n">
        <f aca="false">'Daily Trade Summary'!N291</f>
        <v>1064.40985625</v>
      </c>
      <c r="K19" s="21" t="n">
        <f aca="false">'Daily Trade Summary'!O291</f>
        <v>3080.77014374993</v>
      </c>
      <c r="L19" s="22" t="n">
        <f aca="false">IF($E19=0,"",$K19/$E19)</f>
        <v>0.00106447088133934</v>
      </c>
    </row>
    <row r="20" customFormat="false" ht="15" hidden="false" customHeight="false" outlineLevel="0" collapsed="false">
      <c r="A20" s="19" t="n">
        <v>46296</v>
      </c>
      <c r="B20" s="20" t="n">
        <f aca="false">'Daily Trade Summary'!B308</f>
        <v>5000</v>
      </c>
      <c r="C20" s="20" t="n">
        <f aca="false">'Daily Trade Summary'!E308</f>
        <v>5000</v>
      </c>
      <c r="D20" s="20" t="n">
        <f aca="false">'Daily Trade Summary'!I308</f>
        <v>0</v>
      </c>
      <c r="E20" s="21" t="n">
        <f aca="false">'Daily Trade Summary'!C308</f>
        <v>399950</v>
      </c>
      <c r="F20" s="21" t="n">
        <f aca="false">'Daily Trade Summary'!F308</f>
        <v>399950</v>
      </c>
      <c r="G20" s="21" t="n">
        <f aca="false">'Daily Trade Summary'!J308</f>
        <v>0</v>
      </c>
      <c r="H20" s="21" t="n">
        <f aca="false">'Daily Trade Summary'!L308</f>
        <v>129.98375</v>
      </c>
      <c r="I20" s="21" t="n">
        <f aca="false">'Daily Trade Summary'!M308</f>
        <v>16.8978875</v>
      </c>
      <c r="J20" s="21" t="n">
        <f aca="false">'Daily Trade Summary'!N308</f>
        <v>146.8816375</v>
      </c>
      <c r="K20" s="21" t="n">
        <f aca="false">'Daily Trade Summary'!O308</f>
        <v>-146.8816375</v>
      </c>
      <c r="L20" s="22" t="n">
        <f aca="false">IF($E20=0,"",$K20/$E20)</f>
        <v>-0.00036725</v>
      </c>
    </row>
    <row r="21" customFormat="false" ht="15" hidden="false" customHeight="false" outlineLevel="0" collapsed="false">
      <c r="A21" s="19" t="n">
        <v>46297</v>
      </c>
      <c r="B21" s="20" t="n">
        <f aca="false">'Daily Trade Summary'!B325</f>
        <v>1000</v>
      </c>
      <c r="C21" s="20" t="n">
        <f aca="false">'Daily Trade Summary'!E325</f>
        <v>1000</v>
      </c>
      <c r="D21" s="20" t="n">
        <f aca="false">'Daily Trade Summary'!I325</f>
        <v>0</v>
      </c>
      <c r="E21" s="21" t="n">
        <f aca="false">'Daily Trade Summary'!C325</f>
        <v>603000</v>
      </c>
      <c r="F21" s="21" t="n">
        <f aca="false">'Daily Trade Summary'!F325</f>
        <v>604020</v>
      </c>
      <c r="G21" s="21" t="n">
        <f aca="false">'Daily Trade Summary'!J325</f>
        <v>1020</v>
      </c>
      <c r="H21" s="21" t="n">
        <f aca="false">'Daily Trade Summary'!L325</f>
        <v>196.3065</v>
      </c>
      <c r="I21" s="21" t="n">
        <f aca="false">'Daily Trade Summary'!M325</f>
        <v>25.519845</v>
      </c>
      <c r="J21" s="21" t="n">
        <f aca="false">'Daily Trade Summary'!N325</f>
        <v>221.826345</v>
      </c>
      <c r="K21" s="21" t="n">
        <f aca="false">'Daily Trade Summary'!O325</f>
        <v>798.173655</v>
      </c>
      <c r="L21" s="22" t="n">
        <f aca="false">IF($E21=0,"",$K21/$E21)</f>
        <v>0.00132367106965174</v>
      </c>
    </row>
    <row r="22" customFormat="false" ht="15" hidden="false" customHeight="false" outlineLevel="0" collapsed="false">
      <c r="A22" s="19" t="n">
        <v>46301</v>
      </c>
      <c r="B22" s="20" t="n">
        <f aca="false">'Daily Trade Summary'!B344</f>
        <v>11006</v>
      </c>
      <c r="C22" s="20" t="n">
        <f aca="false">'Daily Trade Summary'!E344</f>
        <v>11006</v>
      </c>
      <c r="D22" s="20" t="n">
        <f aca="false">'Daily Trade Summary'!I344</f>
        <v>0</v>
      </c>
      <c r="E22" s="21" t="n">
        <f aca="false">'Daily Trade Summary'!C344</f>
        <v>871082.06</v>
      </c>
      <c r="F22" s="21" t="n">
        <f aca="false">'Daily Trade Summary'!F344</f>
        <v>871637.88</v>
      </c>
      <c r="G22" s="21" t="n">
        <f aca="false">'Daily Trade Summary'!J344</f>
        <v>555.82</v>
      </c>
      <c r="H22" s="21" t="n">
        <f aca="false">'Daily Trade Summary'!L344</f>
        <v>115.122311</v>
      </c>
      <c r="I22" s="21" t="n">
        <f aca="false">'Daily Trade Summary'!M344</f>
        <v>14.96590043</v>
      </c>
      <c r="J22" s="21" t="n">
        <f aca="false">'Daily Trade Summary'!N344</f>
        <v>130.08821143</v>
      </c>
      <c r="K22" s="21" t="n">
        <f aca="false">'Daily Trade Summary'!O344</f>
        <v>425.73178857</v>
      </c>
      <c r="L22" s="22" t="n">
        <f aca="false">IF($E22=0,"",$K22/$E22)</f>
        <v>0.000488739015667479</v>
      </c>
    </row>
    <row r="23" customFormat="false" ht="15" hidden="false" customHeight="false" outlineLevel="0" collapsed="false">
      <c r="A23" s="19" t="n">
        <v>46309</v>
      </c>
      <c r="B23" s="20" t="n">
        <f aca="false">'Daily Trade Summary'!B367</f>
        <v>126289</v>
      </c>
      <c r="C23" s="20" t="n">
        <f aca="false">'Daily Trade Summary'!E367</f>
        <v>126289</v>
      </c>
      <c r="D23" s="20" t="n">
        <f aca="false">'Daily Trade Summary'!I367</f>
        <v>0</v>
      </c>
      <c r="E23" s="21" t="n">
        <f aca="false">'Daily Trade Summary'!C367</f>
        <v>16051455.2</v>
      </c>
      <c r="F23" s="21" t="n">
        <f aca="false">'Daily Trade Summary'!F367</f>
        <v>16060638.58</v>
      </c>
      <c r="G23" s="21" t="n">
        <f aca="false">'Daily Trade Summary'!J367</f>
        <v>9183.38000000006</v>
      </c>
      <c r="H23" s="21" t="n">
        <f aca="false">'Daily Trade Summary'!L367</f>
        <v>5219.7075385</v>
      </c>
      <c r="I23" s="21" t="n">
        <f aca="false">'Daily Trade Summary'!M367</f>
        <v>678.561980005</v>
      </c>
      <c r="J23" s="21" t="n">
        <f aca="false">'Daily Trade Summary'!N367</f>
        <v>5898.269518505</v>
      </c>
      <c r="K23" s="21" t="n">
        <f aca="false">'Daily Trade Summary'!O367</f>
        <v>3285.11048149506</v>
      </c>
      <c r="L23" s="22" t="n">
        <f aca="false">IF($E23=0,"",$K23/$E23)</f>
        <v>0.000204661224827458</v>
      </c>
    </row>
    <row r="24" customFormat="false" ht="15" hidden="false" customHeight="false" outlineLevel="0" collapsed="false">
      <c r="A24" s="19" t="n">
        <v>46310</v>
      </c>
      <c r="B24" s="20" t="n">
        <f aca="false">'Daily Trade Summary'!B384</f>
        <v>4000</v>
      </c>
      <c r="C24" s="20" t="n">
        <f aca="false">'Daily Trade Summary'!E384</f>
        <v>4000</v>
      </c>
      <c r="D24" s="20" t="n">
        <f aca="false">'Daily Trade Summary'!I384</f>
        <v>0</v>
      </c>
      <c r="E24" s="21" t="n">
        <f aca="false">'Daily Trade Summary'!C384</f>
        <v>2639830</v>
      </c>
      <c r="F24" s="21" t="n">
        <f aca="false">'Daily Trade Summary'!F384</f>
        <v>2639997.1</v>
      </c>
      <c r="G24" s="21" t="n">
        <f aca="false">'Daily Trade Summary'!J384</f>
        <v>167.100000000093</v>
      </c>
      <c r="H24" s="21" t="n">
        <f aca="false">'Daily Trade Summary'!L384</f>
        <v>857.9990575</v>
      </c>
      <c r="I24" s="21" t="n">
        <f aca="false">'Daily Trade Summary'!M384</f>
        <v>111.539877475</v>
      </c>
      <c r="J24" s="21" t="n">
        <f aca="false">'Daily Trade Summary'!N384</f>
        <v>969.538934975</v>
      </c>
      <c r="K24" s="21" t="n">
        <f aca="false">'Daily Trade Summary'!O384</f>
        <v>-802.438934974907</v>
      </c>
      <c r="L24" s="22" t="n">
        <f aca="false">IF($E24=0,"",$K24/$E24)</f>
        <v>-0.000303973716101002</v>
      </c>
    </row>
    <row r="25" customFormat="false" ht="15" hidden="false" customHeight="false" outlineLevel="0" collapsed="false">
      <c r="A25" s="23" t="s">
        <v>42</v>
      </c>
      <c r="B25" s="24" t="n">
        <f aca="false">SUM(B5:B24)</f>
        <v>520118</v>
      </c>
      <c r="C25" s="24" t="n">
        <f aca="false">SUM(C5:C24)</f>
        <v>520118</v>
      </c>
      <c r="D25" s="24" t="n">
        <f aca="false">$B25-$C25</f>
        <v>0</v>
      </c>
      <c r="E25" s="25" t="n">
        <f aca="false">SUM(E5:E24)</f>
        <v>74766195.21</v>
      </c>
      <c r="F25" s="25" t="n">
        <f aca="false">SUM(F5:F24)</f>
        <v>74829034.33</v>
      </c>
      <c r="G25" s="25" t="n">
        <f aca="false">SUM(G5:G24)</f>
        <v>62839.12</v>
      </c>
      <c r="H25" s="25" t="n">
        <f aca="false">SUM(H5:H24)</f>
        <v>24053.24465725</v>
      </c>
      <c r="I25" s="25" t="n">
        <f aca="false">SUM(I5:I24)</f>
        <v>3126.9218054425</v>
      </c>
      <c r="J25" s="25" t="n">
        <f aca="false">SUM(J5:J24)</f>
        <v>27180.1664626925</v>
      </c>
      <c r="K25" s="25" t="n">
        <f aca="false">SUM(K5:K24)</f>
        <v>35658.9535373075</v>
      </c>
      <c r="L25" s="26" t="n">
        <f aca="false">IF($E25=0,"",$K25/$E25)</f>
        <v>0.000476939523766726</v>
      </c>
    </row>
  </sheetData>
  <conditionalFormatting sqref="G5:L2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27" t="n">
        <v>46296</v>
      </c>
    </row>
    <row r="5" customFormat="false" ht="15" hidden="false" customHeight="false" outlineLevel="0" collapsed="false">
      <c r="A5" s="3" t="s">
        <v>46</v>
      </c>
      <c r="B5" s="27" t="n">
        <f aca="false">MAX('Daily Summary'!$A$5:$A$404)</f>
        <v>46310</v>
      </c>
    </row>
    <row r="6" customFormat="false" ht="15" hidden="false" customHeight="false" outlineLevel="0" collapsed="false">
      <c r="A6" s="3" t="s">
        <v>47</v>
      </c>
      <c r="B6" s="27" t="n">
        <f aca="false">IFERROR(IF(INDEX('Daily Summary'!$A$5:$A$404,COUNTIF('Daily Summary'!$A$5:$A$404,"&lt;"&amp;$B$4)+1)&gt;$B$5,"—",INDEX('Daily Summary'!$A$5:$A$404,COUNTIF('Daily Summary'!$A$5:$A$404,"&lt;"&amp;$B$4)+1)),"—")</f>
        <v>46296</v>
      </c>
    </row>
    <row r="7" customFormat="false" ht="15" hidden="false" customHeight="false" outlineLevel="0" collapsed="false">
      <c r="A7" s="3" t="s">
        <v>48</v>
      </c>
      <c r="B7" s="28" t="n">
        <f aca="false">COUNTIFS('Daily Summary'!$A$5:$A$404,"&gt;="&amp;$B$4,'Daily Summary'!$A$5:$A$404,"&lt;="&amp;$B$5)</f>
        <v>5</v>
      </c>
    </row>
    <row r="9" customFormat="false" ht="30" hidden="false" customHeight="true" outlineLevel="0" collapsed="false">
      <c r="A9" s="18" t="s">
        <v>49</v>
      </c>
      <c r="B9" s="18" t="s">
        <v>50</v>
      </c>
    </row>
    <row r="10" customFormat="false" ht="15" hidden="false" customHeight="false" outlineLevel="0" collapsed="false">
      <c r="A10" s="6" t="s">
        <v>51</v>
      </c>
      <c r="B10" s="12" t="n">
        <f aca="false">SUMIFS('Daily Summary'!$B$5:$B$404,'Daily Summary'!$A$5:$A$404,"&gt;="&amp;$B$4,'Daily Summary'!$A$5:$A$404,"&lt;="&amp;$B$5)</f>
        <v>147295</v>
      </c>
    </row>
    <row r="11" customFormat="false" ht="15" hidden="false" customHeight="false" outlineLevel="0" collapsed="false">
      <c r="A11" s="6" t="s">
        <v>52</v>
      </c>
      <c r="B11" s="12" t="n">
        <f aca="false">SUMIFS('Daily Summary'!$C$5:$C$404,'Daily Summary'!$A$5:$A$404,"&gt;="&amp;$B$4,'Daily Summary'!$A$5:$A$404,"&lt;="&amp;$B$5)</f>
        <v>147295</v>
      </c>
    </row>
    <row r="12" customFormat="false" ht="15" hidden="false" customHeight="false" outlineLevel="0" collapsed="false">
      <c r="A12" s="6" t="s">
        <v>53</v>
      </c>
      <c r="B12" s="12" t="n">
        <f aca="false">SUMIFS('Daily Summary'!$D$5:$D$404,'Daily Summary'!$A$5:$A$404,"&gt;="&amp;$B$4,'Daily Summary'!$A$5:$A$404,"&lt;="&amp;$B$5)</f>
        <v>0</v>
      </c>
    </row>
    <row r="13" customFormat="false" ht="15" hidden="false" customHeight="false" outlineLevel="0" collapsed="false">
      <c r="A13" s="6" t="s">
        <v>36</v>
      </c>
      <c r="B13" s="7" t="n">
        <f aca="false">SUMIFS('Daily Summary'!$E$5:$E$404,'Daily Summary'!$A$5:$A$404,"&gt;="&amp;$B$4,'Daily Summary'!$A$5:$A$404,"&lt;="&amp;$B$5)</f>
        <v>20565317.26</v>
      </c>
    </row>
    <row r="14" customFormat="false" ht="15" hidden="false" customHeight="false" outlineLevel="0" collapsed="false">
      <c r="A14" s="6" t="s">
        <v>37</v>
      </c>
      <c r="B14" s="7" t="n">
        <f aca="false">SUMIFS('Daily Summary'!$F$5:$F$404,'Daily Summary'!$A$5:$A$404,"&gt;="&amp;$B$4,'Daily Summary'!$A$5:$A$404,"&lt;="&amp;$B$5)</f>
        <v>20576243.56</v>
      </c>
    </row>
    <row r="15" customFormat="false" ht="15" hidden="false" customHeight="false" outlineLevel="0" collapsed="false">
      <c r="A15" s="6" t="s">
        <v>38</v>
      </c>
      <c r="B15" s="7" t="n">
        <f aca="false">SUMIFS('Daily Summary'!$G$5:$G$404,'Daily Summary'!$A$5:$A$404,"&gt;="&amp;$B$4,'Daily Summary'!$A$5:$A$404,"&lt;="&amp;$B$5)</f>
        <v>10926.3000000002</v>
      </c>
    </row>
    <row r="16" customFormat="false" ht="15" hidden="false" customHeight="false" outlineLevel="0" collapsed="false">
      <c r="A16" s="6" t="s">
        <v>39</v>
      </c>
      <c r="B16" s="7" t="n">
        <f aca="false">SUMIFS('Daily Summary'!$H$5:$H$404,'Daily Summary'!$A$5:$A$404,"&gt;="&amp;$B$4,'Daily Summary'!$A$5:$A$404,"&lt;="&amp;$B$5)</f>
        <v>6519.119157</v>
      </c>
    </row>
    <row r="17" customFormat="false" ht="15" hidden="false" customHeight="false" outlineLevel="0" collapsed="false">
      <c r="A17" s="6" t="s">
        <v>40</v>
      </c>
      <c r="B17" s="7" t="n">
        <f aca="false">SUMIFS('Daily Summary'!$I$5:$I$404,'Daily Summary'!$A$5:$A$404,"&gt;="&amp;$B$4,'Daily Summary'!$A$5:$A$404,"&lt;="&amp;$B$5)</f>
        <v>847.48549041</v>
      </c>
    </row>
    <row r="18" customFormat="false" ht="15" hidden="false" customHeight="false" outlineLevel="0" collapsed="false">
      <c r="A18" s="6" t="s">
        <v>41</v>
      </c>
      <c r="B18" s="7" t="n">
        <f aca="false">SUMIFS('Daily Summary'!$J$5:$J$404,'Daily Summary'!$A$5:$A$404,"&gt;="&amp;$B$4,'Daily Summary'!$A$5:$A$404,"&lt;="&amp;$B$5)</f>
        <v>7366.60464741</v>
      </c>
    </row>
    <row r="19" customFormat="false" ht="15" hidden="false" customHeight="false" outlineLevel="0" collapsed="false">
      <c r="A19" s="6" t="s">
        <v>7</v>
      </c>
      <c r="B19" s="7" t="n">
        <f aca="false">SUMIFS('Daily Summary'!$K$5:$K$404,'Daily Summary'!$A$5:$A$404,"&gt;="&amp;$B$4,'Daily Summary'!$A$5:$A$404,"&lt;="&amp;$B$5)</f>
        <v>3559.69535259016</v>
      </c>
    </row>
    <row r="20" customFormat="false" ht="15" hidden="false" customHeight="false" outlineLevel="0" collapsed="false">
      <c r="A20" s="29" t="s">
        <v>8</v>
      </c>
      <c r="B20" s="30" t="n">
        <f aca="false">IF($B$13=0,"",$B$19/$B$13)</f>
        <v>0.000173092168119081</v>
      </c>
    </row>
    <row r="22" customFormat="false" ht="15" hidden="false" customHeight="false" outlineLevel="0" collapsed="false">
      <c r="A22" s="31" t="s">
        <v>54</v>
      </c>
    </row>
    <row r="23" customFormat="false" ht="30" hidden="false" customHeight="true" outlineLevel="0" collapsed="false">
      <c r="A23" s="18" t="s">
        <v>32</v>
      </c>
      <c r="B23" s="18" t="s">
        <v>33</v>
      </c>
      <c r="C23" s="18" t="s">
        <v>34</v>
      </c>
      <c r="D23" s="18" t="s">
        <v>35</v>
      </c>
      <c r="E23" s="18" t="s">
        <v>36</v>
      </c>
      <c r="F23" s="18" t="s">
        <v>37</v>
      </c>
      <c r="G23" s="18" t="s">
        <v>38</v>
      </c>
      <c r="H23" s="18" t="s">
        <v>39</v>
      </c>
      <c r="I23" s="18" t="s">
        <v>40</v>
      </c>
      <c r="J23" s="18" t="s">
        <v>41</v>
      </c>
      <c r="K23" s="18" t="s">
        <v>7</v>
      </c>
      <c r="L23" s="18" t="s">
        <v>8</v>
      </c>
    </row>
    <row r="24" customFormat="false" ht="15" hidden="false" customHeight="false" outlineLevel="0" collapsed="false">
      <c r="A24" s="19" t="n">
        <f aca="false">'Daily Summary'!A20</f>
        <v>46296</v>
      </c>
      <c r="B24" s="20" t="n">
        <f aca="false">'Daily Summary'!B20</f>
        <v>5000</v>
      </c>
      <c r="C24" s="20" t="n">
        <f aca="false">'Daily Summary'!C20</f>
        <v>5000</v>
      </c>
      <c r="D24" s="20" t="n">
        <f aca="false">'Daily Summary'!D20</f>
        <v>0</v>
      </c>
      <c r="E24" s="21" t="n">
        <f aca="false">'Daily Summary'!E20</f>
        <v>399950</v>
      </c>
      <c r="F24" s="21" t="n">
        <f aca="false">'Daily Summary'!F20</f>
        <v>399950</v>
      </c>
      <c r="G24" s="21" t="n">
        <f aca="false">'Daily Summary'!G20</f>
        <v>0</v>
      </c>
      <c r="H24" s="21" t="n">
        <f aca="false">'Daily Summary'!H20</f>
        <v>129.98375</v>
      </c>
      <c r="I24" s="21" t="n">
        <f aca="false">'Daily Summary'!I20</f>
        <v>16.8978875</v>
      </c>
      <c r="J24" s="21" t="n">
        <f aca="false">'Daily Summary'!J20</f>
        <v>146.8816375</v>
      </c>
      <c r="K24" s="21" t="n">
        <f aca="false">'Daily Summary'!K20</f>
        <v>-146.8816375</v>
      </c>
      <c r="L24" s="22" t="n">
        <f aca="false">'Daily Summary'!L20</f>
        <v>-0.00036725</v>
      </c>
    </row>
    <row r="25" customFormat="false" ht="15" hidden="false" customHeight="false" outlineLevel="0" collapsed="false">
      <c r="A25" s="19" t="n">
        <f aca="false">'Daily Summary'!A21</f>
        <v>46297</v>
      </c>
      <c r="B25" s="20" t="n">
        <f aca="false">'Daily Summary'!B21</f>
        <v>1000</v>
      </c>
      <c r="C25" s="20" t="n">
        <f aca="false">'Daily Summary'!C21</f>
        <v>1000</v>
      </c>
      <c r="D25" s="20" t="n">
        <f aca="false">'Daily Summary'!D21</f>
        <v>0</v>
      </c>
      <c r="E25" s="21" t="n">
        <f aca="false">'Daily Summary'!E21</f>
        <v>603000</v>
      </c>
      <c r="F25" s="21" t="n">
        <f aca="false">'Daily Summary'!F21</f>
        <v>604020</v>
      </c>
      <c r="G25" s="21" t="n">
        <f aca="false">'Daily Summary'!G21</f>
        <v>1020</v>
      </c>
      <c r="H25" s="21" t="n">
        <f aca="false">'Daily Summary'!H21</f>
        <v>196.3065</v>
      </c>
      <c r="I25" s="21" t="n">
        <f aca="false">'Daily Summary'!I21</f>
        <v>25.519845</v>
      </c>
      <c r="J25" s="21" t="n">
        <f aca="false">'Daily Summary'!J21</f>
        <v>221.826345</v>
      </c>
      <c r="K25" s="21" t="n">
        <f aca="false">'Daily Summary'!K21</f>
        <v>798.173655</v>
      </c>
      <c r="L25" s="22" t="n">
        <f aca="false">'Daily Summary'!L21</f>
        <v>0.00132367106965174</v>
      </c>
    </row>
    <row r="26" customFormat="false" ht="15" hidden="false" customHeight="false" outlineLevel="0" collapsed="false">
      <c r="A26" s="19" t="n">
        <f aca="false">'Daily Summary'!A22</f>
        <v>46301</v>
      </c>
      <c r="B26" s="20" t="n">
        <f aca="false">'Daily Summary'!B22</f>
        <v>11006</v>
      </c>
      <c r="C26" s="20" t="n">
        <f aca="false">'Daily Summary'!C22</f>
        <v>11006</v>
      </c>
      <c r="D26" s="20" t="n">
        <f aca="false">'Daily Summary'!D22</f>
        <v>0</v>
      </c>
      <c r="E26" s="21" t="n">
        <f aca="false">'Daily Summary'!E22</f>
        <v>871082.06</v>
      </c>
      <c r="F26" s="21" t="n">
        <f aca="false">'Daily Summary'!F22</f>
        <v>871637.88</v>
      </c>
      <c r="G26" s="21" t="n">
        <f aca="false">'Daily Summary'!G22</f>
        <v>555.82</v>
      </c>
      <c r="H26" s="21" t="n">
        <f aca="false">'Daily Summary'!H22</f>
        <v>115.122311</v>
      </c>
      <c r="I26" s="21" t="n">
        <f aca="false">'Daily Summary'!I22</f>
        <v>14.96590043</v>
      </c>
      <c r="J26" s="21" t="n">
        <f aca="false">'Daily Summary'!J22</f>
        <v>130.08821143</v>
      </c>
      <c r="K26" s="21" t="n">
        <f aca="false">'Daily Summary'!K22</f>
        <v>425.73178857</v>
      </c>
      <c r="L26" s="22" t="n">
        <f aca="false">'Daily Summary'!L22</f>
        <v>0.000488739015667479</v>
      </c>
    </row>
    <row r="27" customFormat="false" ht="15" hidden="false" customHeight="false" outlineLevel="0" collapsed="false">
      <c r="A27" s="19" t="n">
        <f aca="false">'Daily Summary'!A23</f>
        <v>46309</v>
      </c>
      <c r="B27" s="20" t="n">
        <f aca="false">'Daily Summary'!B23</f>
        <v>126289</v>
      </c>
      <c r="C27" s="20" t="n">
        <f aca="false">'Daily Summary'!C23</f>
        <v>126289</v>
      </c>
      <c r="D27" s="20" t="n">
        <f aca="false">'Daily Summary'!D23</f>
        <v>0</v>
      </c>
      <c r="E27" s="21" t="n">
        <f aca="false">'Daily Summary'!E23</f>
        <v>16051455.2</v>
      </c>
      <c r="F27" s="21" t="n">
        <f aca="false">'Daily Summary'!F23</f>
        <v>16060638.58</v>
      </c>
      <c r="G27" s="21" t="n">
        <f aca="false">'Daily Summary'!G23</f>
        <v>9183.38000000006</v>
      </c>
      <c r="H27" s="21" t="n">
        <f aca="false">'Daily Summary'!H23</f>
        <v>5219.7075385</v>
      </c>
      <c r="I27" s="21" t="n">
        <f aca="false">'Daily Summary'!I23</f>
        <v>678.561980005</v>
      </c>
      <c r="J27" s="21" t="n">
        <f aca="false">'Daily Summary'!J23</f>
        <v>5898.269518505</v>
      </c>
      <c r="K27" s="21" t="n">
        <f aca="false">'Daily Summary'!K23</f>
        <v>3285.11048149506</v>
      </c>
      <c r="L27" s="22" t="n">
        <f aca="false">'Daily Summary'!L23</f>
        <v>0.000204661224827458</v>
      </c>
    </row>
    <row r="28" customFormat="false" ht="15" hidden="false" customHeight="false" outlineLevel="0" collapsed="false">
      <c r="A28" s="19" t="n">
        <f aca="false">'Daily Summary'!A24</f>
        <v>46310</v>
      </c>
      <c r="B28" s="20" t="n">
        <f aca="false">'Daily Summary'!B24</f>
        <v>4000</v>
      </c>
      <c r="C28" s="20" t="n">
        <f aca="false">'Daily Summary'!C24</f>
        <v>4000</v>
      </c>
      <c r="D28" s="20" t="n">
        <f aca="false">'Daily Summary'!D24</f>
        <v>0</v>
      </c>
      <c r="E28" s="21" t="n">
        <f aca="false">'Daily Summary'!E24</f>
        <v>2639830</v>
      </c>
      <c r="F28" s="21" t="n">
        <f aca="false">'Daily Summary'!F24</f>
        <v>2639997.1</v>
      </c>
      <c r="G28" s="21" t="n">
        <f aca="false">'Daily Summary'!G24</f>
        <v>167.100000000093</v>
      </c>
      <c r="H28" s="21" t="n">
        <f aca="false">'Daily Summary'!H24</f>
        <v>857.9990575</v>
      </c>
      <c r="I28" s="21" t="n">
        <f aca="false">'Daily Summary'!I24</f>
        <v>111.539877475</v>
      </c>
      <c r="J28" s="21" t="n">
        <f aca="false">'Daily Summary'!J24</f>
        <v>969.538934975</v>
      </c>
      <c r="K28" s="21" t="n">
        <f aca="false">'Daily Summary'!K24</f>
        <v>-802.438934974907</v>
      </c>
      <c r="L28" s="22" t="n">
        <f aca="false">'Daily Summary'!L24</f>
        <v>-0.000303973716101002</v>
      </c>
    </row>
    <row r="29" customFormat="false" ht="15" hidden="false" customHeight="false" outlineLevel="0" collapsed="false">
      <c r="A29" s="23" t="s">
        <v>42</v>
      </c>
      <c r="B29" s="24" t="n">
        <f aca="false">SUM(B24:B28)</f>
        <v>147295</v>
      </c>
      <c r="C29" s="24" t="n">
        <f aca="false">SUM(C24:C28)</f>
        <v>147295</v>
      </c>
      <c r="D29" s="24" t="n">
        <f aca="false">$B29-$C29</f>
        <v>0</v>
      </c>
      <c r="E29" s="25" t="n">
        <f aca="false">SUM(E24:E28)</f>
        <v>20565317.26</v>
      </c>
      <c r="F29" s="25" t="n">
        <f aca="false">SUM(F24:F28)</f>
        <v>20576243.56</v>
      </c>
      <c r="G29" s="25" t="n">
        <f aca="false">SUM(G24:G28)</f>
        <v>10926.3000000002</v>
      </c>
      <c r="H29" s="25" t="n">
        <f aca="false">SUM(H24:H28)</f>
        <v>6519.119157</v>
      </c>
      <c r="I29" s="25" t="n">
        <f aca="false">SUM(I24:I28)</f>
        <v>847.48549041</v>
      </c>
      <c r="J29" s="25" t="n">
        <f aca="false">SUM(J24:J28)</f>
        <v>7366.60464741</v>
      </c>
      <c r="K29" s="25" t="n">
        <f aca="false">SUM(K24:K28)</f>
        <v>3559.69535259016</v>
      </c>
      <c r="L29" s="26" t="n">
        <f aca="false">IF($E29=0,"",$K29/$E29)</f>
        <v>0.000173092168119081</v>
      </c>
    </row>
  </sheetData>
  <conditionalFormatting sqref="G24:L2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15:B20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27" t="n">
        <v>46296</v>
      </c>
    </row>
    <row r="5" customFormat="false" ht="15" hidden="false" customHeight="false" outlineLevel="0" collapsed="false">
      <c r="A5" s="3" t="s">
        <v>46</v>
      </c>
      <c r="B5" s="27" t="n">
        <f aca="false">MAX('Daily Summary'!$A$5:$A$404)</f>
        <v>46310</v>
      </c>
    </row>
    <row r="6" customFormat="false" ht="15" hidden="false" customHeight="false" outlineLevel="0" collapsed="false">
      <c r="A6" s="3" t="s">
        <v>47</v>
      </c>
      <c r="B6" s="27" t="n">
        <f aca="false">IFERROR(IF(INDEX('Daily Summary'!$A$5:$A$404,COUNTIF('Daily Summary'!$A$5:$A$404,"&lt;"&amp;$B$4)+1)&gt;$B$5,"—",INDEX('Daily Summary'!$A$5:$A$404,COUNTIF('Daily Summary'!$A$5:$A$404,"&lt;"&amp;$B$4)+1)),"—")</f>
        <v>46296</v>
      </c>
    </row>
    <row r="7" customFormat="false" ht="15" hidden="false" customHeight="false" outlineLevel="0" collapsed="false">
      <c r="A7" s="3" t="s">
        <v>48</v>
      </c>
      <c r="B7" s="28" t="n">
        <f aca="false">COUNTIFS('Daily Summary'!$A$5:$A$404,"&gt;="&amp;$B$4,'Daily Summary'!$A$5:$A$404,"&lt;="&amp;$B$5)</f>
        <v>5</v>
      </c>
    </row>
    <row r="9" customFormat="false" ht="30" hidden="false" customHeight="true" outlineLevel="0" collapsed="false">
      <c r="A9" s="18" t="s">
        <v>49</v>
      </c>
      <c r="B9" s="18" t="s">
        <v>50</v>
      </c>
    </row>
    <row r="10" customFormat="false" ht="15" hidden="false" customHeight="false" outlineLevel="0" collapsed="false">
      <c r="A10" s="6" t="s">
        <v>51</v>
      </c>
      <c r="B10" s="12" t="n">
        <f aca="false">SUMIFS('Daily Summary'!$B$5:$B$404,'Daily Summary'!$A$5:$A$404,"&gt;="&amp;$B$4,'Daily Summary'!$A$5:$A$404,"&lt;="&amp;$B$5)</f>
        <v>147295</v>
      </c>
    </row>
    <row r="11" customFormat="false" ht="15" hidden="false" customHeight="false" outlineLevel="0" collapsed="false">
      <c r="A11" s="6" t="s">
        <v>52</v>
      </c>
      <c r="B11" s="12" t="n">
        <f aca="false">SUMIFS('Daily Summary'!$C$5:$C$404,'Daily Summary'!$A$5:$A$404,"&gt;="&amp;$B$4,'Daily Summary'!$A$5:$A$404,"&lt;="&amp;$B$5)</f>
        <v>147295</v>
      </c>
    </row>
    <row r="12" customFormat="false" ht="15" hidden="false" customHeight="false" outlineLevel="0" collapsed="false">
      <c r="A12" s="6" t="s">
        <v>53</v>
      </c>
      <c r="B12" s="12" t="n">
        <f aca="false">SUMIFS('Daily Summary'!$D$5:$D$404,'Daily Summary'!$A$5:$A$404,"&gt;="&amp;$B$4,'Daily Summary'!$A$5:$A$404,"&lt;="&amp;$B$5)</f>
        <v>0</v>
      </c>
    </row>
    <row r="13" customFormat="false" ht="15" hidden="false" customHeight="false" outlineLevel="0" collapsed="false">
      <c r="A13" s="6" t="s">
        <v>36</v>
      </c>
      <c r="B13" s="7" t="n">
        <f aca="false">SUMIFS('Daily Summary'!$E$5:$E$404,'Daily Summary'!$A$5:$A$404,"&gt;="&amp;$B$4,'Daily Summary'!$A$5:$A$404,"&lt;="&amp;$B$5)</f>
        <v>20565317.26</v>
      </c>
    </row>
    <row r="14" customFormat="false" ht="15" hidden="false" customHeight="false" outlineLevel="0" collapsed="false">
      <c r="A14" s="6" t="s">
        <v>37</v>
      </c>
      <c r="B14" s="7" t="n">
        <f aca="false">SUMIFS('Daily Summary'!$F$5:$F$404,'Daily Summary'!$A$5:$A$404,"&gt;="&amp;$B$4,'Daily Summary'!$A$5:$A$404,"&lt;="&amp;$B$5)</f>
        <v>20576243.56</v>
      </c>
    </row>
    <row r="15" customFormat="false" ht="15" hidden="false" customHeight="false" outlineLevel="0" collapsed="false">
      <c r="A15" s="6" t="s">
        <v>38</v>
      </c>
      <c r="B15" s="7" t="n">
        <f aca="false">SUMIFS('Daily Summary'!$G$5:$G$404,'Daily Summary'!$A$5:$A$404,"&gt;="&amp;$B$4,'Daily Summary'!$A$5:$A$404,"&lt;="&amp;$B$5)</f>
        <v>10926.3000000002</v>
      </c>
    </row>
    <row r="16" customFormat="false" ht="15" hidden="false" customHeight="false" outlineLevel="0" collapsed="false">
      <c r="A16" s="6" t="s">
        <v>39</v>
      </c>
      <c r="B16" s="7" t="n">
        <f aca="false">SUMIFS('Daily Summary'!$H$5:$H$404,'Daily Summary'!$A$5:$A$404,"&gt;="&amp;$B$4,'Daily Summary'!$A$5:$A$404,"&lt;="&amp;$B$5)</f>
        <v>6519.119157</v>
      </c>
    </row>
    <row r="17" customFormat="false" ht="15" hidden="false" customHeight="false" outlineLevel="0" collapsed="false">
      <c r="A17" s="6" t="s">
        <v>40</v>
      </c>
      <c r="B17" s="7" t="n">
        <f aca="false">SUMIFS('Daily Summary'!$I$5:$I$404,'Daily Summary'!$A$5:$A$404,"&gt;="&amp;$B$4,'Daily Summary'!$A$5:$A$404,"&lt;="&amp;$B$5)</f>
        <v>847.48549041</v>
      </c>
    </row>
    <row r="18" customFormat="false" ht="15" hidden="false" customHeight="false" outlineLevel="0" collapsed="false">
      <c r="A18" s="6" t="s">
        <v>41</v>
      </c>
      <c r="B18" s="7" t="n">
        <f aca="false">SUMIFS('Daily Summary'!$J$5:$J$404,'Daily Summary'!$A$5:$A$404,"&gt;="&amp;$B$4,'Daily Summary'!$A$5:$A$404,"&lt;="&amp;$B$5)</f>
        <v>7366.60464741</v>
      </c>
    </row>
    <row r="19" customFormat="false" ht="15" hidden="false" customHeight="false" outlineLevel="0" collapsed="false">
      <c r="A19" s="6" t="s">
        <v>7</v>
      </c>
      <c r="B19" s="7" t="n">
        <f aca="false">SUMIFS('Daily Summary'!$K$5:$K$404,'Daily Summary'!$A$5:$A$404,"&gt;="&amp;$B$4,'Daily Summary'!$A$5:$A$404,"&lt;="&amp;$B$5)</f>
        <v>3559.69535259016</v>
      </c>
    </row>
    <row r="20" customFormat="false" ht="15" hidden="false" customHeight="false" outlineLevel="0" collapsed="false">
      <c r="A20" s="29" t="s">
        <v>8</v>
      </c>
      <c r="B20" s="30" t="n">
        <f aca="false">IF($B$13=0,"",$B$19/$B$13)</f>
        <v>0.000173092168119081</v>
      </c>
    </row>
    <row r="22" customFormat="false" ht="15" hidden="false" customHeight="false" outlineLevel="0" collapsed="false">
      <c r="A22" s="31" t="s">
        <v>54</v>
      </c>
    </row>
    <row r="23" customFormat="false" ht="30" hidden="false" customHeight="true" outlineLevel="0" collapsed="false">
      <c r="A23" s="18" t="s">
        <v>32</v>
      </c>
      <c r="B23" s="18" t="s">
        <v>33</v>
      </c>
      <c r="C23" s="18" t="s">
        <v>34</v>
      </c>
      <c r="D23" s="18" t="s">
        <v>35</v>
      </c>
      <c r="E23" s="18" t="s">
        <v>36</v>
      </c>
      <c r="F23" s="18" t="s">
        <v>37</v>
      </c>
      <c r="G23" s="18" t="s">
        <v>38</v>
      </c>
      <c r="H23" s="18" t="s">
        <v>39</v>
      </c>
      <c r="I23" s="18" t="s">
        <v>40</v>
      </c>
      <c r="J23" s="18" t="s">
        <v>41</v>
      </c>
      <c r="K23" s="18" t="s">
        <v>7</v>
      </c>
      <c r="L23" s="18" t="s">
        <v>8</v>
      </c>
    </row>
    <row r="24" customFormat="false" ht="15" hidden="false" customHeight="false" outlineLevel="0" collapsed="false">
      <c r="A24" s="19" t="n">
        <f aca="false">'Daily Summary'!A20</f>
        <v>46296</v>
      </c>
      <c r="B24" s="20" t="n">
        <f aca="false">'Daily Summary'!B20</f>
        <v>5000</v>
      </c>
      <c r="C24" s="20" t="n">
        <f aca="false">'Daily Summary'!C20</f>
        <v>5000</v>
      </c>
      <c r="D24" s="20" t="n">
        <f aca="false">'Daily Summary'!D20</f>
        <v>0</v>
      </c>
      <c r="E24" s="21" t="n">
        <f aca="false">'Daily Summary'!E20</f>
        <v>399950</v>
      </c>
      <c r="F24" s="21" t="n">
        <f aca="false">'Daily Summary'!F20</f>
        <v>399950</v>
      </c>
      <c r="G24" s="21" t="n">
        <f aca="false">'Daily Summary'!G20</f>
        <v>0</v>
      </c>
      <c r="H24" s="21" t="n">
        <f aca="false">'Daily Summary'!H20</f>
        <v>129.98375</v>
      </c>
      <c r="I24" s="21" t="n">
        <f aca="false">'Daily Summary'!I20</f>
        <v>16.8978875</v>
      </c>
      <c r="J24" s="21" t="n">
        <f aca="false">'Daily Summary'!J20</f>
        <v>146.8816375</v>
      </c>
      <c r="K24" s="21" t="n">
        <f aca="false">'Daily Summary'!K20</f>
        <v>-146.8816375</v>
      </c>
      <c r="L24" s="22" t="n">
        <f aca="false">'Daily Summary'!L20</f>
        <v>-0.00036725</v>
      </c>
    </row>
    <row r="25" customFormat="false" ht="15" hidden="false" customHeight="false" outlineLevel="0" collapsed="false">
      <c r="A25" s="19" t="n">
        <f aca="false">'Daily Summary'!A21</f>
        <v>46297</v>
      </c>
      <c r="B25" s="20" t="n">
        <f aca="false">'Daily Summary'!B21</f>
        <v>1000</v>
      </c>
      <c r="C25" s="20" t="n">
        <f aca="false">'Daily Summary'!C21</f>
        <v>1000</v>
      </c>
      <c r="D25" s="20" t="n">
        <f aca="false">'Daily Summary'!D21</f>
        <v>0</v>
      </c>
      <c r="E25" s="21" t="n">
        <f aca="false">'Daily Summary'!E21</f>
        <v>603000</v>
      </c>
      <c r="F25" s="21" t="n">
        <f aca="false">'Daily Summary'!F21</f>
        <v>604020</v>
      </c>
      <c r="G25" s="21" t="n">
        <f aca="false">'Daily Summary'!G21</f>
        <v>1020</v>
      </c>
      <c r="H25" s="21" t="n">
        <f aca="false">'Daily Summary'!H21</f>
        <v>196.3065</v>
      </c>
      <c r="I25" s="21" t="n">
        <f aca="false">'Daily Summary'!I21</f>
        <v>25.519845</v>
      </c>
      <c r="J25" s="21" t="n">
        <f aca="false">'Daily Summary'!J21</f>
        <v>221.826345</v>
      </c>
      <c r="K25" s="21" t="n">
        <f aca="false">'Daily Summary'!K21</f>
        <v>798.173655</v>
      </c>
      <c r="L25" s="22" t="n">
        <f aca="false">'Daily Summary'!L21</f>
        <v>0.00132367106965174</v>
      </c>
    </row>
    <row r="26" customFormat="false" ht="15" hidden="false" customHeight="false" outlineLevel="0" collapsed="false">
      <c r="A26" s="19" t="n">
        <f aca="false">'Daily Summary'!A22</f>
        <v>46301</v>
      </c>
      <c r="B26" s="20" t="n">
        <f aca="false">'Daily Summary'!B22</f>
        <v>11006</v>
      </c>
      <c r="C26" s="20" t="n">
        <f aca="false">'Daily Summary'!C22</f>
        <v>11006</v>
      </c>
      <c r="D26" s="20" t="n">
        <f aca="false">'Daily Summary'!D22</f>
        <v>0</v>
      </c>
      <c r="E26" s="21" t="n">
        <f aca="false">'Daily Summary'!E22</f>
        <v>871082.06</v>
      </c>
      <c r="F26" s="21" t="n">
        <f aca="false">'Daily Summary'!F22</f>
        <v>871637.88</v>
      </c>
      <c r="G26" s="21" t="n">
        <f aca="false">'Daily Summary'!G22</f>
        <v>555.82</v>
      </c>
      <c r="H26" s="21" t="n">
        <f aca="false">'Daily Summary'!H22</f>
        <v>115.122311</v>
      </c>
      <c r="I26" s="21" t="n">
        <f aca="false">'Daily Summary'!I22</f>
        <v>14.96590043</v>
      </c>
      <c r="J26" s="21" t="n">
        <f aca="false">'Daily Summary'!J22</f>
        <v>130.08821143</v>
      </c>
      <c r="K26" s="21" t="n">
        <f aca="false">'Daily Summary'!K22</f>
        <v>425.73178857</v>
      </c>
      <c r="L26" s="22" t="n">
        <f aca="false">'Daily Summary'!L22</f>
        <v>0.000488739015667479</v>
      </c>
    </row>
    <row r="27" customFormat="false" ht="15" hidden="false" customHeight="false" outlineLevel="0" collapsed="false">
      <c r="A27" s="19" t="n">
        <f aca="false">'Daily Summary'!A23</f>
        <v>46309</v>
      </c>
      <c r="B27" s="20" t="n">
        <f aca="false">'Daily Summary'!B23</f>
        <v>126289</v>
      </c>
      <c r="C27" s="20" t="n">
        <f aca="false">'Daily Summary'!C23</f>
        <v>126289</v>
      </c>
      <c r="D27" s="20" t="n">
        <f aca="false">'Daily Summary'!D23</f>
        <v>0</v>
      </c>
      <c r="E27" s="21" t="n">
        <f aca="false">'Daily Summary'!E23</f>
        <v>16051455.2</v>
      </c>
      <c r="F27" s="21" t="n">
        <f aca="false">'Daily Summary'!F23</f>
        <v>16060638.58</v>
      </c>
      <c r="G27" s="21" t="n">
        <f aca="false">'Daily Summary'!G23</f>
        <v>9183.38000000006</v>
      </c>
      <c r="H27" s="21" t="n">
        <f aca="false">'Daily Summary'!H23</f>
        <v>5219.7075385</v>
      </c>
      <c r="I27" s="21" t="n">
        <f aca="false">'Daily Summary'!I23</f>
        <v>678.561980005</v>
      </c>
      <c r="J27" s="21" t="n">
        <f aca="false">'Daily Summary'!J23</f>
        <v>5898.269518505</v>
      </c>
      <c r="K27" s="21" t="n">
        <f aca="false">'Daily Summary'!K23</f>
        <v>3285.11048149506</v>
      </c>
      <c r="L27" s="22" t="n">
        <f aca="false">'Daily Summary'!L23</f>
        <v>0.000204661224827458</v>
      </c>
    </row>
    <row r="28" customFormat="false" ht="15" hidden="false" customHeight="false" outlineLevel="0" collapsed="false">
      <c r="A28" s="19" t="n">
        <f aca="false">'Daily Summary'!A24</f>
        <v>46310</v>
      </c>
      <c r="B28" s="20" t="n">
        <f aca="false">'Daily Summary'!B24</f>
        <v>4000</v>
      </c>
      <c r="C28" s="20" t="n">
        <f aca="false">'Daily Summary'!C24</f>
        <v>4000</v>
      </c>
      <c r="D28" s="20" t="n">
        <f aca="false">'Daily Summary'!D24</f>
        <v>0</v>
      </c>
      <c r="E28" s="21" t="n">
        <f aca="false">'Daily Summary'!E24</f>
        <v>2639830</v>
      </c>
      <c r="F28" s="21" t="n">
        <f aca="false">'Daily Summary'!F24</f>
        <v>2639997.1</v>
      </c>
      <c r="G28" s="21" t="n">
        <f aca="false">'Daily Summary'!G24</f>
        <v>167.100000000093</v>
      </c>
      <c r="H28" s="21" t="n">
        <f aca="false">'Daily Summary'!H24</f>
        <v>857.9990575</v>
      </c>
      <c r="I28" s="21" t="n">
        <f aca="false">'Daily Summary'!I24</f>
        <v>111.539877475</v>
      </c>
      <c r="J28" s="21" t="n">
        <f aca="false">'Daily Summary'!J24</f>
        <v>969.538934975</v>
      </c>
      <c r="K28" s="21" t="n">
        <f aca="false">'Daily Summary'!K24</f>
        <v>-802.438934974907</v>
      </c>
      <c r="L28" s="22" t="n">
        <f aca="false">'Daily Summary'!L24</f>
        <v>-0.000303973716101002</v>
      </c>
    </row>
    <row r="29" customFormat="false" ht="15" hidden="false" customHeight="false" outlineLevel="0" collapsed="false">
      <c r="A29" s="23" t="s">
        <v>42</v>
      </c>
      <c r="B29" s="24" t="n">
        <f aca="false">SUM(B24:B28)</f>
        <v>147295</v>
      </c>
      <c r="C29" s="24" t="n">
        <f aca="false">SUM(C24:C28)</f>
        <v>147295</v>
      </c>
      <c r="D29" s="24" t="n">
        <f aca="false">$B29-$C29</f>
        <v>0</v>
      </c>
      <c r="E29" s="25" t="n">
        <f aca="false">SUM(E24:E28)</f>
        <v>20565317.26</v>
      </c>
      <c r="F29" s="25" t="n">
        <f aca="false">SUM(F24:F28)</f>
        <v>20576243.56</v>
      </c>
      <c r="G29" s="25" t="n">
        <f aca="false">SUM(G24:G28)</f>
        <v>10926.3000000002</v>
      </c>
      <c r="H29" s="25" t="n">
        <f aca="false">SUM(H24:H28)</f>
        <v>6519.119157</v>
      </c>
      <c r="I29" s="25" t="n">
        <f aca="false">SUM(I24:I28)</f>
        <v>847.48549041</v>
      </c>
      <c r="J29" s="25" t="n">
        <f aca="false">SUM(J24:J28)</f>
        <v>7366.60464741</v>
      </c>
      <c r="K29" s="25" t="n">
        <f aca="false">SUM(K24:K28)</f>
        <v>3559.69535259016</v>
      </c>
      <c r="L29" s="26" t="n">
        <f aca="false">IF($E29=0,"",$K29/$E29)</f>
        <v>0.000173092168119081</v>
      </c>
    </row>
  </sheetData>
  <conditionalFormatting sqref="G24:L2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15:B20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27" t="n">
        <v>46023</v>
      </c>
    </row>
    <row r="5" customFormat="false" ht="15" hidden="false" customHeight="false" outlineLevel="0" collapsed="false">
      <c r="A5" s="3" t="s">
        <v>46</v>
      </c>
      <c r="B5" s="27" t="n">
        <f aca="false">MAX('Daily Summary'!$A$5:$A$404)</f>
        <v>46310</v>
      </c>
    </row>
    <row r="6" customFormat="false" ht="15" hidden="false" customHeight="false" outlineLevel="0" collapsed="false">
      <c r="A6" s="3" t="s">
        <v>47</v>
      </c>
      <c r="B6" s="27" t="n">
        <f aca="false">IFERROR(IF(INDEX('Daily Summary'!$A$5:$A$404,COUNTIF('Daily Summary'!$A$5:$A$404,"&lt;"&amp;$B$4)+1)&gt;$B$5,"—",INDEX('Daily Summary'!$A$5:$A$404,COUNTIF('Daily Summary'!$A$5:$A$404,"&lt;"&amp;$B$4)+1)),"—")</f>
        <v>46258</v>
      </c>
    </row>
    <row r="7" customFormat="false" ht="15" hidden="false" customHeight="false" outlineLevel="0" collapsed="false">
      <c r="A7" s="3" t="s">
        <v>48</v>
      </c>
      <c r="B7" s="28" t="n">
        <f aca="false">COUNTIFS('Daily Summary'!$A$5:$A$404,"&gt;="&amp;$B$4,'Daily Summary'!$A$5:$A$404,"&lt;="&amp;$B$5)</f>
        <v>20</v>
      </c>
    </row>
    <row r="9" customFormat="false" ht="30" hidden="false" customHeight="true" outlineLevel="0" collapsed="false">
      <c r="A9" s="18" t="s">
        <v>49</v>
      </c>
      <c r="B9" s="18" t="s">
        <v>50</v>
      </c>
    </row>
    <row r="10" customFormat="false" ht="15" hidden="false" customHeight="false" outlineLevel="0" collapsed="false">
      <c r="A10" s="6" t="s">
        <v>51</v>
      </c>
      <c r="B10" s="12" t="n">
        <f aca="false">SUMIFS('Daily Summary'!$B$5:$B$404,'Daily Summary'!$A$5:$A$404,"&gt;="&amp;$B$4,'Daily Summary'!$A$5:$A$404,"&lt;="&amp;$B$5)</f>
        <v>520118</v>
      </c>
    </row>
    <row r="11" customFormat="false" ht="15" hidden="false" customHeight="false" outlineLevel="0" collapsed="false">
      <c r="A11" s="6" t="s">
        <v>52</v>
      </c>
      <c r="B11" s="12" t="n">
        <f aca="false">SUMIFS('Daily Summary'!$C$5:$C$404,'Daily Summary'!$A$5:$A$404,"&gt;="&amp;$B$4,'Daily Summary'!$A$5:$A$404,"&lt;="&amp;$B$5)</f>
        <v>520118</v>
      </c>
    </row>
    <row r="12" customFormat="false" ht="15" hidden="false" customHeight="false" outlineLevel="0" collapsed="false">
      <c r="A12" s="6" t="s">
        <v>53</v>
      </c>
      <c r="B12" s="12" t="n">
        <f aca="false">SUMIFS('Daily Summary'!$D$5:$D$404,'Daily Summary'!$A$5:$A$404,"&gt;="&amp;$B$4,'Daily Summary'!$A$5:$A$404,"&lt;="&amp;$B$5)</f>
        <v>0</v>
      </c>
    </row>
    <row r="13" customFormat="false" ht="15" hidden="false" customHeight="false" outlineLevel="0" collapsed="false">
      <c r="A13" s="6" t="s">
        <v>36</v>
      </c>
      <c r="B13" s="7" t="n">
        <f aca="false">SUMIFS('Daily Summary'!$E$5:$E$404,'Daily Summary'!$A$5:$A$404,"&gt;="&amp;$B$4,'Daily Summary'!$A$5:$A$404,"&lt;="&amp;$B$5)</f>
        <v>74766195.21</v>
      </c>
    </row>
    <row r="14" customFormat="false" ht="15" hidden="false" customHeight="false" outlineLevel="0" collapsed="false">
      <c r="A14" s="6" t="s">
        <v>37</v>
      </c>
      <c r="B14" s="7" t="n">
        <f aca="false">SUMIFS('Daily Summary'!$F$5:$F$404,'Daily Summary'!$A$5:$A$404,"&gt;="&amp;$B$4,'Daily Summary'!$A$5:$A$404,"&lt;="&amp;$B$5)</f>
        <v>74829034.33</v>
      </c>
    </row>
    <row r="15" customFormat="false" ht="15" hidden="false" customHeight="false" outlineLevel="0" collapsed="false">
      <c r="A15" s="6" t="s">
        <v>38</v>
      </c>
      <c r="B15" s="7" t="n">
        <f aca="false">SUMIFS('Daily Summary'!$G$5:$G$404,'Daily Summary'!$A$5:$A$404,"&gt;="&amp;$B$4,'Daily Summary'!$A$5:$A$404,"&lt;="&amp;$B$5)</f>
        <v>62839.12</v>
      </c>
    </row>
    <row r="16" customFormat="false" ht="15" hidden="false" customHeight="false" outlineLevel="0" collapsed="false">
      <c r="A16" s="6" t="s">
        <v>39</v>
      </c>
      <c r="B16" s="7" t="n">
        <f aca="false">SUMIFS('Daily Summary'!$H$5:$H$404,'Daily Summary'!$A$5:$A$404,"&gt;="&amp;$B$4,'Daily Summary'!$A$5:$A$404,"&lt;="&amp;$B$5)</f>
        <v>24053.24465725</v>
      </c>
    </row>
    <row r="17" customFormat="false" ht="15" hidden="false" customHeight="false" outlineLevel="0" collapsed="false">
      <c r="A17" s="6" t="s">
        <v>40</v>
      </c>
      <c r="B17" s="7" t="n">
        <f aca="false">SUMIFS('Daily Summary'!$I$5:$I$404,'Daily Summary'!$A$5:$A$404,"&gt;="&amp;$B$4,'Daily Summary'!$A$5:$A$404,"&lt;="&amp;$B$5)</f>
        <v>3126.9218054425</v>
      </c>
    </row>
    <row r="18" customFormat="false" ht="15" hidden="false" customHeight="false" outlineLevel="0" collapsed="false">
      <c r="A18" s="6" t="s">
        <v>41</v>
      </c>
      <c r="B18" s="7" t="n">
        <f aca="false">SUMIFS('Daily Summary'!$J$5:$J$404,'Daily Summary'!$A$5:$A$404,"&gt;="&amp;$B$4,'Daily Summary'!$A$5:$A$404,"&lt;="&amp;$B$5)</f>
        <v>27180.1664626925</v>
      </c>
    </row>
    <row r="19" customFormat="false" ht="15" hidden="false" customHeight="false" outlineLevel="0" collapsed="false">
      <c r="A19" s="6" t="s">
        <v>7</v>
      </c>
      <c r="B19" s="7" t="n">
        <f aca="false">SUMIFS('Daily Summary'!$K$5:$K$404,'Daily Summary'!$A$5:$A$404,"&gt;="&amp;$B$4,'Daily Summary'!$A$5:$A$404,"&lt;="&amp;$B$5)</f>
        <v>35658.9535373075</v>
      </c>
    </row>
    <row r="20" customFormat="false" ht="15" hidden="false" customHeight="false" outlineLevel="0" collapsed="false">
      <c r="A20" s="29" t="s">
        <v>8</v>
      </c>
      <c r="B20" s="30" t="n">
        <f aca="false">IF($B$13=0,"",$B$19/$B$13)</f>
        <v>0.000476939523766726</v>
      </c>
    </row>
    <row r="22" customFormat="false" ht="15" hidden="false" customHeight="false" outlineLevel="0" collapsed="false">
      <c r="A22" s="31" t="s">
        <v>54</v>
      </c>
    </row>
    <row r="23" customFormat="false" ht="30" hidden="false" customHeight="true" outlineLevel="0" collapsed="false">
      <c r="A23" s="18" t="s">
        <v>32</v>
      </c>
      <c r="B23" s="18" t="s">
        <v>33</v>
      </c>
      <c r="C23" s="18" t="s">
        <v>34</v>
      </c>
      <c r="D23" s="18" t="s">
        <v>35</v>
      </c>
      <c r="E23" s="18" t="s">
        <v>36</v>
      </c>
      <c r="F23" s="18" t="s">
        <v>37</v>
      </c>
      <c r="G23" s="18" t="s">
        <v>38</v>
      </c>
      <c r="H23" s="18" t="s">
        <v>39</v>
      </c>
      <c r="I23" s="18" t="s">
        <v>40</v>
      </c>
      <c r="J23" s="18" t="s">
        <v>41</v>
      </c>
      <c r="K23" s="18" t="s">
        <v>7</v>
      </c>
      <c r="L23" s="18" t="s">
        <v>8</v>
      </c>
    </row>
    <row r="24" customFormat="false" ht="15" hidden="false" customHeight="false" outlineLevel="0" collapsed="false">
      <c r="A24" s="19" t="n">
        <f aca="false">'Daily Summary'!A5</f>
        <v>46258</v>
      </c>
      <c r="B24" s="20" t="n">
        <f aca="false">'Daily Summary'!B5</f>
        <v>2500</v>
      </c>
      <c r="C24" s="20" t="n">
        <f aca="false">'Daily Summary'!C5</f>
        <v>2500</v>
      </c>
      <c r="D24" s="20" t="n">
        <f aca="false">'Daily Summary'!D5</f>
        <v>0</v>
      </c>
      <c r="E24" s="21" t="n">
        <f aca="false">'Daily Summary'!E5</f>
        <v>830250</v>
      </c>
      <c r="F24" s="21" t="n">
        <f aca="false">'Daily Summary'!F5</f>
        <v>830975</v>
      </c>
      <c r="G24" s="21" t="n">
        <f aca="false">'Daily Summary'!G5</f>
        <v>725</v>
      </c>
      <c r="H24" s="21" t="n">
        <f aca="false">'Daily Summary'!H5</f>
        <v>270.066875</v>
      </c>
      <c r="I24" s="21" t="n">
        <f aca="false">'Daily Summary'!I5</f>
        <v>35.10869375</v>
      </c>
      <c r="J24" s="21" t="n">
        <f aca="false">'Daily Summary'!J5</f>
        <v>305.17556875</v>
      </c>
      <c r="K24" s="21" t="n">
        <f aca="false">'Daily Summary'!K5</f>
        <v>419.82443125</v>
      </c>
      <c r="L24" s="22" t="n">
        <f aca="false">'Daily Summary'!L5</f>
        <v>0.000505660260463716</v>
      </c>
    </row>
    <row r="25" customFormat="false" ht="15" hidden="false" customHeight="false" outlineLevel="0" collapsed="false">
      <c r="A25" s="19" t="n">
        <f aca="false">'Daily Summary'!A6</f>
        <v>46261</v>
      </c>
      <c r="B25" s="20" t="n">
        <f aca="false">'Daily Summary'!B6</f>
        <v>42890</v>
      </c>
      <c r="C25" s="20" t="n">
        <f aca="false">'Daily Summary'!C6</f>
        <v>42890</v>
      </c>
      <c r="D25" s="20" t="n">
        <f aca="false">'Daily Summary'!D6</f>
        <v>0</v>
      </c>
      <c r="E25" s="21" t="n">
        <f aca="false">'Daily Summary'!E6</f>
        <v>4333064</v>
      </c>
      <c r="F25" s="21" t="n">
        <f aca="false">'Daily Summary'!F6</f>
        <v>4339589.4</v>
      </c>
      <c r="G25" s="21" t="n">
        <f aca="false">'Daily Summary'!G6</f>
        <v>6525.40000000002</v>
      </c>
      <c r="H25" s="21" t="n">
        <f aca="false">'Daily Summary'!H6</f>
        <v>1410.366555</v>
      </c>
      <c r="I25" s="21" t="n">
        <f aca="false">'Daily Summary'!I6</f>
        <v>183.34765215</v>
      </c>
      <c r="J25" s="21" t="n">
        <f aca="false">'Daily Summary'!J6</f>
        <v>1593.71420715</v>
      </c>
      <c r="K25" s="21" t="n">
        <f aca="false">'Daily Summary'!K6</f>
        <v>4931.68579285002</v>
      </c>
      <c r="L25" s="22" t="n">
        <f aca="false">'Daily Summary'!L6</f>
        <v>0.00113815207734066</v>
      </c>
    </row>
    <row r="26" customFormat="false" ht="15" hidden="false" customHeight="false" outlineLevel="0" collapsed="false">
      <c r="A26" s="19" t="n">
        <f aca="false">'Daily Summary'!A7</f>
        <v>46267</v>
      </c>
      <c r="B26" s="20" t="n">
        <f aca="false">'Daily Summary'!B7</f>
        <v>15000</v>
      </c>
      <c r="C26" s="20" t="n">
        <f aca="false">'Daily Summary'!C7</f>
        <v>15000</v>
      </c>
      <c r="D26" s="20" t="n">
        <f aca="false">'Daily Summary'!D7</f>
        <v>0</v>
      </c>
      <c r="E26" s="21" t="n">
        <f aca="false">'Daily Summary'!E7</f>
        <v>2141410</v>
      </c>
      <c r="F26" s="21" t="n">
        <f aca="false">'Daily Summary'!F7</f>
        <v>2144500.65</v>
      </c>
      <c r="G26" s="21" t="n">
        <f aca="false">'Daily Summary'!G7</f>
        <v>3090.65000000002</v>
      </c>
      <c r="H26" s="21" t="n">
        <f aca="false">'Daily Summary'!H7</f>
        <v>696.96271125</v>
      </c>
      <c r="I26" s="21" t="n">
        <f aca="false">'Daily Summary'!I7</f>
        <v>90.6051524625</v>
      </c>
      <c r="J26" s="21" t="n">
        <f aca="false">'Daily Summary'!J7</f>
        <v>787.5678637125</v>
      </c>
      <c r="K26" s="21" t="n">
        <f aca="false">'Daily Summary'!K7</f>
        <v>2303.08213628752</v>
      </c>
      <c r="L26" s="22" t="n">
        <f aca="false">'Daily Summary'!L7</f>
        <v>0.00107549798323886</v>
      </c>
    </row>
    <row r="27" customFormat="false" ht="15" hidden="false" customHeight="false" outlineLevel="0" collapsed="false">
      <c r="A27" s="19" t="n">
        <f aca="false">'Daily Summary'!A8</f>
        <v>46269</v>
      </c>
      <c r="B27" s="20" t="n">
        <f aca="false">'Daily Summary'!B8</f>
        <v>27500</v>
      </c>
      <c r="C27" s="20" t="n">
        <f aca="false">'Daily Summary'!C8</f>
        <v>27500</v>
      </c>
      <c r="D27" s="20" t="n">
        <f aca="false">'Daily Summary'!D8</f>
        <v>0</v>
      </c>
      <c r="E27" s="21" t="n">
        <f aca="false">'Daily Summary'!E8</f>
        <v>5365575</v>
      </c>
      <c r="F27" s="21" t="n">
        <f aca="false">'Daily Summary'!F8</f>
        <v>5376050</v>
      </c>
      <c r="G27" s="21" t="n">
        <f aca="false">'Daily Summary'!G8</f>
        <v>10475</v>
      </c>
      <c r="H27" s="21" t="n">
        <f aca="false">'Daily Summary'!H8</f>
        <v>1747.21625</v>
      </c>
      <c r="I27" s="21" t="n">
        <f aca="false">'Daily Summary'!I8</f>
        <v>227.1381125</v>
      </c>
      <c r="J27" s="21" t="n">
        <f aca="false">'Daily Summary'!J8</f>
        <v>1974.3543625</v>
      </c>
      <c r="K27" s="21" t="n">
        <f aca="false">'Daily Summary'!K8</f>
        <v>8500.6456375</v>
      </c>
      <c r="L27" s="22" t="n">
        <f aca="false">'Daily Summary'!L8</f>
        <v>0.00158429350768557</v>
      </c>
    </row>
    <row r="28" customFormat="false" ht="15" hidden="false" customHeight="false" outlineLevel="0" collapsed="false">
      <c r="A28" s="19" t="n">
        <f aca="false">'Daily Summary'!A9</f>
        <v>46272</v>
      </c>
      <c r="B28" s="20" t="n">
        <f aca="false">'Daily Summary'!B9</f>
        <v>7500</v>
      </c>
      <c r="C28" s="20" t="n">
        <f aca="false">'Daily Summary'!C9</f>
        <v>7500</v>
      </c>
      <c r="D28" s="20" t="n">
        <f aca="false">'Daily Summary'!D9</f>
        <v>0</v>
      </c>
      <c r="E28" s="21" t="n">
        <f aca="false">'Daily Summary'!E9</f>
        <v>3022230</v>
      </c>
      <c r="F28" s="21" t="n">
        <f aca="false">'Daily Summary'!F9</f>
        <v>3025610</v>
      </c>
      <c r="G28" s="21" t="n">
        <f aca="false">'Daily Summary'!G9</f>
        <v>3380</v>
      </c>
      <c r="H28" s="21" t="n">
        <f aca="false">'Daily Summary'!H9</f>
        <v>983.32325</v>
      </c>
      <c r="I28" s="21" t="n">
        <f aca="false">'Daily Summary'!I9</f>
        <v>127.8320225</v>
      </c>
      <c r="J28" s="21" t="n">
        <f aca="false">'Daily Summary'!J9</f>
        <v>1111.1552725</v>
      </c>
      <c r="K28" s="21" t="n">
        <f aca="false">'Daily Summary'!K9</f>
        <v>2268.8447275</v>
      </c>
      <c r="L28" s="22" t="n">
        <f aca="false">'Daily Summary'!L9</f>
        <v>0.0007507187498966</v>
      </c>
    </row>
    <row r="29" customFormat="false" ht="15" hidden="false" customHeight="false" outlineLevel="0" collapsed="false">
      <c r="A29" s="19" t="n">
        <f aca="false">'Daily Summary'!A10</f>
        <v>46273</v>
      </c>
      <c r="B29" s="20" t="n">
        <f aca="false">'Daily Summary'!B10</f>
        <v>500</v>
      </c>
      <c r="C29" s="20" t="n">
        <f aca="false">'Daily Summary'!C10</f>
        <v>500</v>
      </c>
      <c r="D29" s="20" t="n">
        <f aca="false">'Daily Summary'!D10</f>
        <v>0</v>
      </c>
      <c r="E29" s="21" t="n">
        <f aca="false">'Daily Summary'!E10</f>
        <v>252000</v>
      </c>
      <c r="F29" s="21" t="n">
        <f aca="false">'Daily Summary'!F10</f>
        <v>252125</v>
      </c>
      <c r="G29" s="21" t="n">
        <f aca="false">'Daily Summary'!G10</f>
        <v>125</v>
      </c>
      <c r="H29" s="21" t="n">
        <f aca="false">'Daily Summary'!H10</f>
        <v>81.940625</v>
      </c>
      <c r="I29" s="21" t="n">
        <f aca="false">'Daily Summary'!I10</f>
        <v>10.65228125</v>
      </c>
      <c r="J29" s="21" t="n">
        <f aca="false">'Daily Summary'!J10</f>
        <v>92.59290625</v>
      </c>
      <c r="K29" s="21" t="n">
        <f aca="false">'Daily Summary'!K10</f>
        <v>32.40709375</v>
      </c>
      <c r="L29" s="22" t="n">
        <f aca="false">'Daily Summary'!L10</f>
        <v>0.000128599578373016</v>
      </c>
    </row>
    <row r="30" customFormat="false" ht="15" hidden="false" customHeight="false" outlineLevel="0" collapsed="false">
      <c r="A30" s="19" t="n">
        <f aca="false">'Daily Summary'!A11</f>
        <v>46274</v>
      </c>
      <c r="B30" s="20" t="n">
        <f aca="false">'Daily Summary'!B11</f>
        <v>38504</v>
      </c>
      <c r="C30" s="20" t="n">
        <f aca="false">'Daily Summary'!C11</f>
        <v>38504</v>
      </c>
      <c r="D30" s="20" t="n">
        <f aca="false">'Daily Summary'!D11</f>
        <v>0</v>
      </c>
      <c r="E30" s="21" t="n">
        <f aca="false">'Daily Summary'!E11</f>
        <v>3738415.47</v>
      </c>
      <c r="F30" s="21" t="n">
        <f aca="false">'Daily Summary'!F11</f>
        <v>3741478.2</v>
      </c>
      <c r="G30" s="21" t="n">
        <f aca="false">'Daily Summary'!G11</f>
        <v>3062.72999999999</v>
      </c>
      <c r="H30" s="21" t="n">
        <f aca="false">'Daily Summary'!H11</f>
        <v>1215.980415</v>
      </c>
      <c r="I30" s="21" t="n">
        <f aca="false">'Daily Summary'!I11</f>
        <v>158.07745395</v>
      </c>
      <c r="J30" s="21" t="n">
        <f aca="false">'Daily Summary'!J11</f>
        <v>1374.05786895</v>
      </c>
      <c r="K30" s="21" t="n">
        <f aca="false">'Daily Summary'!K11</f>
        <v>1688.67213104999</v>
      </c>
      <c r="L30" s="22" t="n">
        <f aca="false">'Daily Summary'!L11</f>
        <v>0.000451707988210842</v>
      </c>
    </row>
    <row r="31" customFormat="false" ht="15" hidden="false" customHeight="false" outlineLevel="0" collapsed="false">
      <c r="A31" s="19" t="n">
        <f aca="false">'Daily Summary'!A12</f>
        <v>46275</v>
      </c>
      <c r="B31" s="20" t="n">
        <f aca="false">'Daily Summary'!B12</f>
        <v>69500</v>
      </c>
      <c r="C31" s="20" t="n">
        <f aca="false">'Daily Summary'!C12</f>
        <v>69500</v>
      </c>
      <c r="D31" s="20" t="n">
        <f aca="false">'Daily Summary'!D12</f>
        <v>0</v>
      </c>
      <c r="E31" s="21" t="n">
        <f aca="false">'Daily Summary'!E12</f>
        <v>11274470</v>
      </c>
      <c r="F31" s="21" t="n">
        <f aca="false">'Daily Summary'!F12</f>
        <v>11286869.25</v>
      </c>
      <c r="G31" s="21" t="n">
        <f aca="false">'Daily Summary'!G12</f>
        <v>12399.2499999999</v>
      </c>
      <c r="H31" s="21" t="n">
        <f aca="false">'Daily Summary'!H12</f>
        <v>3668.23250625</v>
      </c>
      <c r="I31" s="21" t="n">
        <f aca="false">'Daily Summary'!I12</f>
        <v>476.8702258125</v>
      </c>
      <c r="J31" s="21" t="n">
        <f aca="false">'Daily Summary'!J12</f>
        <v>4145.1027320625</v>
      </c>
      <c r="K31" s="21" t="n">
        <f aca="false">'Daily Summary'!K12</f>
        <v>8254.14726793738</v>
      </c>
      <c r="L31" s="22" t="n">
        <f aca="false">'Daily Summary'!L12</f>
        <v>0.000732109559734283</v>
      </c>
    </row>
    <row r="32" customFormat="false" ht="15" hidden="false" customHeight="false" outlineLevel="0" collapsed="false">
      <c r="A32" s="19" t="n">
        <f aca="false">'Daily Summary'!A13</f>
        <v>46276</v>
      </c>
      <c r="B32" s="20" t="n">
        <f aca="false">'Daily Summary'!B13</f>
        <v>74687</v>
      </c>
      <c r="C32" s="20" t="n">
        <f aca="false">'Daily Summary'!C13</f>
        <v>74687</v>
      </c>
      <c r="D32" s="20" t="n">
        <f aca="false">'Daily Summary'!D13</f>
        <v>0</v>
      </c>
      <c r="E32" s="21" t="n">
        <f aca="false">'Daily Summary'!E13</f>
        <v>7845134.94</v>
      </c>
      <c r="F32" s="21" t="n">
        <f aca="false">'Daily Summary'!F13</f>
        <v>7844789.99</v>
      </c>
      <c r="G32" s="21" t="n">
        <f aca="false">'Daily Summary'!G13</f>
        <v>-344.949999999983</v>
      </c>
      <c r="H32" s="21" t="n">
        <f aca="false">'Daily Summary'!H13</f>
        <v>2549.55674675</v>
      </c>
      <c r="I32" s="21" t="n">
        <f aca="false">'Daily Summary'!I13</f>
        <v>331.4423770775</v>
      </c>
      <c r="J32" s="21" t="n">
        <f aca="false">'Daily Summary'!J13</f>
        <v>2880.9991238275</v>
      </c>
      <c r="K32" s="21" t="n">
        <f aca="false">'Daily Summary'!K13</f>
        <v>-3225.94912382748</v>
      </c>
      <c r="L32" s="22" t="n">
        <f aca="false">'Daily Summary'!L13</f>
        <v>-0.000411203777691488</v>
      </c>
    </row>
    <row r="33" customFormat="false" ht="15" hidden="false" customHeight="false" outlineLevel="0" collapsed="false">
      <c r="A33" s="19" t="n">
        <f aca="false">'Daily Summary'!A14</f>
        <v>46279</v>
      </c>
      <c r="B33" s="20" t="n">
        <f aca="false">'Daily Summary'!B14</f>
        <v>1000</v>
      </c>
      <c r="C33" s="20" t="n">
        <f aca="false">'Daily Summary'!C14</f>
        <v>1000</v>
      </c>
      <c r="D33" s="20" t="n">
        <f aca="false">'Daily Summary'!D14</f>
        <v>0</v>
      </c>
      <c r="E33" s="21" t="n">
        <f aca="false">'Daily Summary'!E14</f>
        <v>536000</v>
      </c>
      <c r="F33" s="21" t="n">
        <f aca="false">'Daily Summary'!F14</f>
        <v>536990</v>
      </c>
      <c r="G33" s="21" t="n">
        <f aca="false">'Daily Summary'!G14</f>
        <v>990</v>
      </c>
      <c r="H33" s="21" t="n">
        <f aca="false">'Daily Summary'!H14</f>
        <v>174.52175</v>
      </c>
      <c r="I33" s="21" t="n">
        <f aca="false">'Daily Summary'!I14</f>
        <v>22.6878275</v>
      </c>
      <c r="J33" s="21" t="n">
        <f aca="false">'Daily Summary'!J14</f>
        <v>197.2095775</v>
      </c>
      <c r="K33" s="21" t="n">
        <f aca="false">'Daily Summary'!K14</f>
        <v>792.7904225</v>
      </c>
      <c r="L33" s="22" t="n">
        <f aca="false">'Daily Summary'!L14</f>
        <v>0.00147908660914179</v>
      </c>
    </row>
    <row r="34" customFormat="false" ht="15" hidden="false" customHeight="false" outlineLevel="0" collapsed="false">
      <c r="A34" s="19" t="n">
        <f aca="false">'Daily Summary'!A15</f>
        <v>46280</v>
      </c>
      <c r="B34" s="20" t="n">
        <f aca="false">'Daily Summary'!B15</f>
        <v>16688</v>
      </c>
      <c r="C34" s="20" t="n">
        <f aca="false">'Daily Summary'!C15</f>
        <v>16688</v>
      </c>
      <c r="D34" s="20" t="n">
        <f aca="false">'Daily Summary'!D15</f>
        <v>0</v>
      </c>
      <c r="E34" s="21" t="n">
        <f aca="false">'Daily Summary'!E15</f>
        <v>2198053.98</v>
      </c>
      <c r="F34" s="21" t="n">
        <f aca="false">'Daily Summary'!F15</f>
        <v>2201882.45</v>
      </c>
      <c r="G34" s="21" t="n">
        <f aca="false">'Daily Summary'!G15</f>
        <v>3828.47</v>
      </c>
      <c r="H34" s="21" t="n">
        <f aca="false">'Daily Summary'!H15</f>
        <v>715.61179625</v>
      </c>
      <c r="I34" s="21" t="n">
        <f aca="false">'Daily Summary'!I15</f>
        <v>93.0295335125</v>
      </c>
      <c r="J34" s="21" t="n">
        <f aca="false">'Daily Summary'!J15</f>
        <v>808.6413297625</v>
      </c>
      <c r="K34" s="21" t="n">
        <f aca="false">'Daily Summary'!K15</f>
        <v>3019.8286702375</v>
      </c>
      <c r="L34" s="22" t="n">
        <f aca="false">'Daily Summary'!L15</f>
        <v>0.00137386465378684</v>
      </c>
    </row>
    <row r="35" customFormat="false" ht="15" hidden="false" customHeight="false" outlineLevel="0" collapsed="false">
      <c r="A35" s="19" t="n">
        <f aca="false">'Daily Summary'!A16</f>
        <v>46281</v>
      </c>
      <c r="B35" s="20" t="n">
        <f aca="false">'Daily Summary'!B16</f>
        <v>2500</v>
      </c>
      <c r="C35" s="20" t="n">
        <f aca="false">'Daily Summary'!C16</f>
        <v>2500</v>
      </c>
      <c r="D35" s="20" t="n">
        <f aca="false">'Daily Summary'!D16</f>
        <v>0</v>
      </c>
      <c r="E35" s="21" t="n">
        <f aca="false">'Daily Summary'!E16</f>
        <v>475972</v>
      </c>
      <c r="F35" s="21" t="n">
        <f aca="false">'Daily Summary'!F16</f>
        <v>479750</v>
      </c>
      <c r="G35" s="21" t="n">
        <f aca="false">'Daily Summary'!G16</f>
        <v>3778</v>
      </c>
      <c r="H35" s="21" t="n">
        <f aca="false">'Daily Summary'!H16</f>
        <v>155.91875</v>
      </c>
      <c r="I35" s="21" t="n">
        <f aca="false">'Daily Summary'!I16</f>
        <v>20.2694375</v>
      </c>
      <c r="J35" s="21" t="n">
        <f aca="false">'Daily Summary'!J16</f>
        <v>176.1881875</v>
      </c>
      <c r="K35" s="21" t="n">
        <f aca="false">'Daily Summary'!K16</f>
        <v>3601.8118125</v>
      </c>
      <c r="L35" s="22" t="n">
        <f aca="false">'Daily Summary'!L16</f>
        <v>0.00756727667278748</v>
      </c>
    </row>
    <row r="36" customFormat="false" ht="15" hidden="false" customHeight="false" outlineLevel="0" collapsed="false">
      <c r="A36" s="19" t="n">
        <f aca="false">'Daily Summary'!A17</f>
        <v>46282</v>
      </c>
      <c r="B36" s="20" t="n">
        <f aca="false">'Daily Summary'!B17</f>
        <v>35054</v>
      </c>
      <c r="C36" s="20" t="n">
        <f aca="false">'Daily Summary'!C17</f>
        <v>35054</v>
      </c>
      <c r="D36" s="20" t="n">
        <f aca="false">'Daily Summary'!D17</f>
        <v>0</v>
      </c>
      <c r="E36" s="21" t="n">
        <f aca="false">'Daily Summary'!E17</f>
        <v>4617217.74</v>
      </c>
      <c r="F36" s="21" t="n">
        <f aca="false">'Daily Summary'!F17</f>
        <v>4615480.83</v>
      </c>
      <c r="G36" s="21" t="n">
        <f aca="false">'Daily Summary'!G17</f>
        <v>-1736.91000000003</v>
      </c>
      <c r="H36" s="21" t="n">
        <f aca="false">'Daily Summary'!H17</f>
        <v>1401.99976975</v>
      </c>
      <c r="I36" s="21" t="n">
        <f aca="false">'Daily Summary'!I17</f>
        <v>182.2599700675</v>
      </c>
      <c r="J36" s="21" t="n">
        <f aca="false">'Daily Summary'!J17</f>
        <v>1584.2597398175</v>
      </c>
      <c r="K36" s="21" t="n">
        <f aca="false">'Daily Summary'!K17</f>
        <v>-3321.16973981753</v>
      </c>
      <c r="L36" s="22" t="n">
        <f aca="false">'Daily Summary'!L17</f>
        <v>-0.000719301087112589</v>
      </c>
    </row>
    <row r="37" customFormat="false" ht="15" hidden="false" customHeight="false" outlineLevel="0" collapsed="false">
      <c r="A37" s="19" t="n">
        <f aca="false">'Daily Summary'!A18</f>
        <v>46283</v>
      </c>
      <c r="B37" s="20" t="n">
        <f aca="false">'Daily Summary'!B18</f>
        <v>30500</v>
      </c>
      <c r="C37" s="20" t="n">
        <f aca="false">'Daily Summary'!C18</f>
        <v>30500</v>
      </c>
      <c r="D37" s="20" t="n">
        <f aca="false">'Daily Summary'!D18</f>
        <v>0</v>
      </c>
      <c r="E37" s="21" t="n">
        <f aca="false">'Daily Summary'!E18</f>
        <v>4676905</v>
      </c>
      <c r="F37" s="21" t="n">
        <f aca="false">'Daily Summary'!F18</f>
        <v>4678375</v>
      </c>
      <c r="G37" s="21" t="n">
        <f aca="false">'Daily Summary'!G18</f>
        <v>1470</v>
      </c>
      <c r="H37" s="21" t="n">
        <f aca="false">'Daily Summary'!H18</f>
        <v>1520.471875</v>
      </c>
      <c r="I37" s="21" t="n">
        <f aca="false">'Daily Summary'!I18</f>
        <v>197.66134375</v>
      </c>
      <c r="J37" s="21" t="n">
        <f aca="false">'Daily Summary'!J18</f>
        <v>1718.13321875</v>
      </c>
      <c r="K37" s="21" t="n">
        <f aca="false">'Daily Summary'!K18</f>
        <v>-248.13321875</v>
      </c>
      <c r="L37" s="22" t="n">
        <f aca="false">'Daily Summary'!L18</f>
        <v>-5.30550051262533E-005</v>
      </c>
    </row>
    <row r="38" customFormat="false" ht="15" hidden="false" customHeight="false" outlineLevel="0" collapsed="false">
      <c r="A38" s="19" t="n">
        <f aca="false">'Daily Summary'!A19</f>
        <v>46290</v>
      </c>
      <c r="B38" s="20" t="n">
        <f aca="false">'Daily Summary'!B19</f>
        <v>8500</v>
      </c>
      <c r="C38" s="20" t="n">
        <f aca="false">'Daily Summary'!C19</f>
        <v>8500</v>
      </c>
      <c r="D38" s="20" t="n">
        <f aca="false">'Daily Summary'!D19</f>
        <v>0</v>
      </c>
      <c r="E38" s="21" t="n">
        <f aca="false">'Daily Summary'!E19</f>
        <v>2894179.82</v>
      </c>
      <c r="F38" s="21" t="n">
        <f aca="false">'Daily Summary'!F19</f>
        <v>2898325</v>
      </c>
      <c r="G38" s="21" t="n">
        <f aca="false">'Daily Summary'!G19</f>
        <v>4145.17999999994</v>
      </c>
      <c r="H38" s="21" t="n">
        <f aca="false">'Daily Summary'!H19</f>
        <v>941.955625</v>
      </c>
      <c r="I38" s="21" t="n">
        <f aca="false">'Daily Summary'!I19</f>
        <v>122.45423125</v>
      </c>
      <c r="J38" s="21" t="n">
        <f aca="false">'Daily Summary'!J19</f>
        <v>1064.40985625</v>
      </c>
      <c r="K38" s="21" t="n">
        <f aca="false">'Daily Summary'!K19</f>
        <v>3080.77014374993</v>
      </c>
      <c r="L38" s="22" t="n">
        <f aca="false">'Daily Summary'!L19</f>
        <v>0.00106447088133934</v>
      </c>
    </row>
    <row r="39" customFormat="false" ht="15" hidden="false" customHeight="false" outlineLevel="0" collapsed="false">
      <c r="A39" s="19" t="n">
        <f aca="false">'Daily Summary'!A20</f>
        <v>46296</v>
      </c>
      <c r="B39" s="20" t="n">
        <f aca="false">'Daily Summary'!B20</f>
        <v>5000</v>
      </c>
      <c r="C39" s="20" t="n">
        <f aca="false">'Daily Summary'!C20</f>
        <v>5000</v>
      </c>
      <c r="D39" s="20" t="n">
        <f aca="false">'Daily Summary'!D20</f>
        <v>0</v>
      </c>
      <c r="E39" s="21" t="n">
        <f aca="false">'Daily Summary'!E20</f>
        <v>399950</v>
      </c>
      <c r="F39" s="21" t="n">
        <f aca="false">'Daily Summary'!F20</f>
        <v>399950</v>
      </c>
      <c r="G39" s="21" t="n">
        <f aca="false">'Daily Summary'!G20</f>
        <v>0</v>
      </c>
      <c r="H39" s="21" t="n">
        <f aca="false">'Daily Summary'!H20</f>
        <v>129.98375</v>
      </c>
      <c r="I39" s="21" t="n">
        <f aca="false">'Daily Summary'!I20</f>
        <v>16.8978875</v>
      </c>
      <c r="J39" s="21" t="n">
        <f aca="false">'Daily Summary'!J20</f>
        <v>146.8816375</v>
      </c>
      <c r="K39" s="21" t="n">
        <f aca="false">'Daily Summary'!K20</f>
        <v>-146.8816375</v>
      </c>
      <c r="L39" s="22" t="n">
        <f aca="false">'Daily Summary'!L20</f>
        <v>-0.00036725</v>
      </c>
    </row>
    <row r="40" customFormat="false" ht="15" hidden="false" customHeight="false" outlineLevel="0" collapsed="false">
      <c r="A40" s="19" t="n">
        <f aca="false">'Daily Summary'!A21</f>
        <v>46297</v>
      </c>
      <c r="B40" s="20" t="n">
        <f aca="false">'Daily Summary'!B21</f>
        <v>1000</v>
      </c>
      <c r="C40" s="20" t="n">
        <f aca="false">'Daily Summary'!C21</f>
        <v>1000</v>
      </c>
      <c r="D40" s="20" t="n">
        <f aca="false">'Daily Summary'!D21</f>
        <v>0</v>
      </c>
      <c r="E40" s="21" t="n">
        <f aca="false">'Daily Summary'!E21</f>
        <v>603000</v>
      </c>
      <c r="F40" s="21" t="n">
        <f aca="false">'Daily Summary'!F21</f>
        <v>604020</v>
      </c>
      <c r="G40" s="21" t="n">
        <f aca="false">'Daily Summary'!G21</f>
        <v>1020</v>
      </c>
      <c r="H40" s="21" t="n">
        <f aca="false">'Daily Summary'!H21</f>
        <v>196.3065</v>
      </c>
      <c r="I40" s="21" t="n">
        <f aca="false">'Daily Summary'!I21</f>
        <v>25.519845</v>
      </c>
      <c r="J40" s="21" t="n">
        <f aca="false">'Daily Summary'!J21</f>
        <v>221.826345</v>
      </c>
      <c r="K40" s="21" t="n">
        <f aca="false">'Daily Summary'!K21</f>
        <v>798.173655</v>
      </c>
      <c r="L40" s="22" t="n">
        <f aca="false">'Daily Summary'!L21</f>
        <v>0.00132367106965174</v>
      </c>
    </row>
    <row r="41" customFormat="false" ht="15" hidden="false" customHeight="false" outlineLevel="0" collapsed="false">
      <c r="A41" s="19" t="n">
        <f aca="false">'Daily Summary'!A22</f>
        <v>46301</v>
      </c>
      <c r="B41" s="20" t="n">
        <f aca="false">'Daily Summary'!B22</f>
        <v>11006</v>
      </c>
      <c r="C41" s="20" t="n">
        <f aca="false">'Daily Summary'!C22</f>
        <v>11006</v>
      </c>
      <c r="D41" s="20" t="n">
        <f aca="false">'Daily Summary'!D22</f>
        <v>0</v>
      </c>
      <c r="E41" s="21" t="n">
        <f aca="false">'Daily Summary'!E22</f>
        <v>871082.06</v>
      </c>
      <c r="F41" s="21" t="n">
        <f aca="false">'Daily Summary'!F22</f>
        <v>871637.88</v>
      </c>
      <c r="G41" s="21" t="n">
        <f aca="false">'Daily Summary'!G22</f>
        <v>555.82</v>
      </c>
      <c r="H41" s="21" t="n">
        <f aca="false">'Daily Summary'!H22</f>
        <v>115.122311</v>
      </c>
      <c r="I41" s="21" t="n">
        <f aca="false">'Daily Summary'!I22</f>
        <v>14.96590043</v>
      </c>
      <c r="J41" s="21" t="n">
        <f aca="false">'Daily Summary'!J22</f>
        <v>130.08821143</v>
      </c>
      <c r="K41" s="21" t="n">
        <f aca="false">'Daily Summary'!K22</f>
        <v>425.73178857</v>
      </c>
      <c r="L41" s="22" t="n">
        <f aca="false">'Daily Summary'!L22</f>
        <v>0.000488739015667479</v>
      </c>
    </row>
    <row r="42" customFormat="false" ht="15" hidden="false" customHeight="false" outlineLevel="0" collapsed="false">
      <c r="A42" s="19" t="n">
        <f aca="false">'Daily Summary'!A23</f>
        <v>46309</v>
      </c>
      <c r="B42" s="20" t="n">
        <f aca="false">'Daily Summary'!B23</f>
        <v>126289</v>
      </c>
      <c r="C42" s="20" t="n">
        <f aca="false">'Daily Summary'!C23</f>
        <v>126289</v>
      </c>
      <c r="D42" s="20" t="n">
        <f aca="false">'Daily Summary'!D23</f>
        <v>0</v>
      </c>
      <c r="E42" s="21" t="n">
        <f aca="false">'Daily Summary'!E23</f>
        <v>16051455.2</v>
      </c>
      <c r="F42" s="21" t="n">
        <f aca="false">'Daily Summary'!F23</f>
        <v>16060638.58</v>
      </c>
      <c r="G42" s="21" t="n">
        <f aca="false">'Daily Summary'!G23</f>
        <v>9183.38000000006</v>
      </c>
      <c r="H42" s="21" t="n">
        <f aca="false">'Daily Summary'!H23</f>
        <v>5219.7075385</v>
      </c>
      <c r="I42" s="21" t="n">
        <f aca="false">'Daily Summary'!I23</f>
        <v>678.561980005</v>
      </c>
      <c r="J42" s="21" t="n">
        <f aca="false">'Daily Summary'!J23</f>
        <v>5898.269518505</v>
      </c>
      <c r="K42" s="21" t="n">
        <f aca="false">'Daily Summary'!K23</f>
        <v>3285.11048149506</v>
      </c>
      <c r="L42" s="22" t="n">
        <f aca="false">'Daily Summary'!L23</f>
        <v>0.000204661224827458</v>
      </c>
    </row>
    <row r="43" customFormat="false" ht="15" hidden="false" customHeight="false" outlineLevel="0" collapsed="false">
      <c r="A43" s="19" t="n">
        <f aca="false">'Daily Summary'!A24</f>
        <v>46310</v>
      </c>
      <c r="B43" s="20" t="n">
        <f aca="false">'Daily Summary'!B24</f>
        <v>4000</v>
      </c>
      <c r="C43" s="20" t="n">
        <f aca="false">'Daily Summary'!C24</f>
        <v>4000</v>
      </c>
      <c r="D43" s="20" t="n">
        <f aca="false">'Daily Summary'!D24</f>
        <v>0</v>
      </c>
      <c r="E43" s="21" t="n">
        <f aca="false">'Daily Summary'!E24</f>
        <v>2639830</v>
      </c>
      <c r="F43" s="21" t="n">
        <f aca="false">'Daily Summary'!F24</f>
        <v>2639997.1</v>
      </c>
      <c r="G43" s="21" t="n">
        <f aca="false">'Daily Summary'!G24</f>
        <v>167.100000000093</v>
      </c>
      <c r="H43" s="21" t="n">
        <f aca="false">'Daily Summary'!H24</f>
        <v>857.9990575</v>
      </c>
      <c r="I43" s="21" t="n">
        <f aca="false">'Daily Summary'!I24</f>
        <v>111.539877475</v>
      </c>
      <c r="J43" s="21" t="n">
        <f aca="false">'Daily Summary'!J24</f>
        <v>969.538934975</v>
      </c>
      <c r="K43" s="21" t="n">
        <f aca="false">'Daily Summary'!K24</f>
        <v>-802.438934974907</v>
      </c>
      <c r="L43" s="22" t="n">
        <f aca="false">'Daily Summary'!L24</f>
        <v>-0.000303973716101002</v>
      </c>
    </row>
    <row r="44" customFormat="false" ht="15" hidden="false" customHeight="false" outlineLevel="0" collapsed="false">
      <c r="A44" s="23" t="s">
        <v>42</v>
      </c>
      <c r="B44" s="24" t="n">
        <f aca="false">SUM(B24:B43)</f>
        <v>520118</v>
      </c>
      <c r="C44" s="24" t="n">
        <f aca="false">SUM(C24:C43)</f>
        <v>520118</v>
      </c>
      <c r="D44" s="24" t="n">
        <f aca="false">$B44-$C44</f>
        <v>0</v>
      </c>
      <c r="E44" s="25" t="n">
        <f aca="false">SUM(E24:E43)</f>
        <v>74766195.21</v>
      </c>
      <c r="F44" s="25" t="n">
        <f aca="false">SUM(F24:F43)</f>
        <v>74829034.33</v>
      </c>
      <c r="G44" s="25" t="n">
        <f aca="false">SUM(G24:G43)</f>
        <v>62839.12</v>
      </c>
      <c r="H44" s="25" t="n">
        <f aca="false">SUM(H24:H43)</f>
        <v>24053.24465725</v>
      </c>
      <c r="I44" s="25" t="n">
        <f aca="false">SUM(I24:I43)</f>
        <v>3126.9218054425</v>
      </c>
      <c r="J44" s="25" t="n">
        <f aca="false">SUM(J24:J43)</f>
        <v>27180.1664626925</v>
      </c>
      <c r="K44" s="25" t="n">
        <f aca="false">SUM(K24:K43)</f>
        <v>35658.9535373075</v>
      </c>
      <c r="L44" s="26" t="n">
        <f aca="false">IF($E44=0,"",$K44/$E44)</f>
        <v>0.000476939523766726</v>
      </c>
    </row>
  </sheetData>
  <conditionalFormatting sqref="G24:L44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B15:B20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5" min="14" style="0" width="14"/>
    <col collapsed="false" customWidth="true" hidden="false" outlineLevel="0" max="16" min="16" style="0" width="11"/>
  </cols>
  <sheetData>
    <row r="1" customFormat="false" ht="19.7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30" hidden="false" customHeight="true" outlineLevel="0" collapsed="false">
      <c r="A4" s="18" t="s">
        <v>59</v>
      </c>
      <c r="B4" s="18" t="s">
        <v>33</v>
      </c>
      <c r="C4" s="18" t="s">
        <v>36</v>
      </c>
      <c r="D4" s="18" t="s">
        <v>60</v>
      </c>
      <c r="E4" s="18" t="s">
        <v>34</v>
      </c>
      <c r="F4" s="18" t="s">
        <v>37</v>
      </c>
      <c r="G4" s="18" t="s">
        <v>61</v>
      </c>
      <c r="H4" s="18" t="s">
        <v>62</v>
      </c>
      <c r="I4" s="18" t="s">
        <v>35</v>
      </c>
      <c r="J4" s="18" t="s">
        <v>38</v>
      </c>
      <c r="K4" s="18" t="s">
        <v>63</v>
      </c>
      <c r="L4" s="18" t="s">
        <v>39</v>
      </c>
      <c r="M4" s="18" t="s">
        <v>64</v>
      </c>
      <c r="N4" s="18" t="s">
        <v>41</v>
      </c>
      <c r="O4" s="18" t="s">
        <v>7</v>
      </c>
      <c r="P4" s="18" t="s">
        <v>8</v>
      </c>
    </row>
    <row r="5" customFormat="false" ht="15" hidden="false" customHeight="false" outlineLevel="0" collapsed="false">
      <c r="A5" s="32" t="n">
        <v>46235</v>
      </c>
      <c r="B5" s="33" t="n">
        <f aca="false">SUMIFS('Daily Summary'!$B$5:$B$404,'Daily Summary'!$A$5:$A$404,"&gt;="&amp;$A5,'Daily Summary'!$A$5:$A$404,"&lt;"&amp;DATE(YEAR($A5),MONTH($A5)+1,1))</f>
        <v>45390</v>
      </c>
      <c r="C5" s="33" t="n">
        <f aca="false">SUMIFS('Daily Summary'!$E$5:$E$404,'Daily Summary'!$A$5:$A$404,"&gt;="&amp;$A5,'Daily Summary'!$A$5:$A$404,"&lt;"&amp;DATE(YEAR($A5),MONTH($A5)+1,1))</f>
        <v>5163314</v>
      </c>
      <c r="D5" s="9" t="n">
        <f aca="false">IF($B5=0,"",$C5/$B5)</f>
        <v>113.754439303811</v>
      </c>
      <c r="E5" s="33" t="n">
        <f aca="false">SUMIFS('Daily Summary'!$C$5:$C$404,'Daily Summary'!$A$5:$A$404,"&gt;="&amp;$A5,'Daily Summary'!$A$5:$A$404,"&lt;"&amp;DATE(YEAR($A5),MONTH($A5)+1,1))</f>
        <v>45390</v>
      </c>
      <c r="F5" s="6" t="n">
        <f aca="false">SUMIFS('Daily Summary'!$F$5:$F$404,'Daily Summary'!$A$5:$A$404,"&gt;="&amp;$A5,'Daily Summary'!$A$5:$A$404,"&lt;"&amp;DATE(YEAR($A5),MONTH($A5)+1,1))</f>
        <v>5170564.4</v>
      </c>
      <c r="G5" s="9" t="n">
        <f aca="false">IF($E5=0,"",$F5/$E5)</f>
        <v>113.914174928398</v>
      </c>
      <c r="H5" s="9" t="n">
        <f aca="false">IF(OR($B5=0,$E5=0),"N/A",$G5-$D5)</f>
        <v>0.159735624586929</v>
      </c>
      <c r="I5" s="33" t="n">
        <f aca="false">$B5-$E5</f>
        <v>0</v>
      </c>
      <c r="J5" s="9" t="n">
        <f aca="false">SUMIFS('Daily Summary'!$G$5:$G$404,'Daily Summary'!$A$5:$A$404,"&gt;="&amp;$A5,'Daily Summary'!$A$5:$A$404,"&lt;"&amp;DATE(YEAR($A5),MONTH($A5)+1,1))</f>
        <v>7250.40000000002</v>
      </c>
      <c r="K5" s="6" t="str">
        <f aca="false">IF($E5=0,"—",IF($G5&gt;=Comm_Slab2_Start,"0.0325% of sell value","0.0175 paisa per share"))</f>
        <v>0.0325% of sell value</v>
      </c>
      <c r="L5" s="9" t="n">
        <f aca="false">SUMIFS('Daily Summary'!$H$5:$H$404,'Daily Summary'!$A$5:$A$404,"&gt;="&amp;$A5,'Daily Summary'!$A$5:$A$404,"&lt;"&amp;DATE(YEAR($A5),MONTH($A5)+1,1))</f>
        <v>1680.43343</v>
      </c>
      <c r="M5" s="9" t="n">
        <f aca="false">SUMIFS('Daily Summary'!$I$5:$I$404,'Daily Summary'!$A$5:$A$404,"&gt;="&amp;$A5,'Daily Summary'!$A$5:$A$404,"&lt;"&amp;DATE(YEAR($A5),MONTH($A5)+1,1))</f>
        <v>218.4563459</v>
      </c>
      <c r="N5" s="9" t="n">
        <f aca="false">$L5+$M5</f>
        <v>1898.8897759</v>
      </c>
      <c r="O5" s="9" t="n">
        <f aca="false">SUMIFS('Daily Summary'!$K$5:$K$404,'Daily Summary'!$A$5:$A$404,"&gt;="&amp;$A5,'Daily Summary'!$A$5:$A$404,"&lt;"&amp;DATE(YEAR($A5),MONTH($A5)+1,1))</f>
        <v>5351.51022410002</v>
      </c>
      <c r="P5" s="10" t="n">
        <f aca="false">IF($C5=0,"N/A",$O5/$C5)</f>
        <v>0.001036448727329</v>
      </c>
    </row>
    <row r="6" customFormat="false" ht="15" hidden="false" customHeight="false" outlineLevel="0" collapsed="false">
      <c r="A6" s="32" t="n">
        <v>46266</v>
      </c>
      <c r="B6" s="33" t="n">
        <f aca="false">SUMIFS('Daily Summary'!$B$5:$B$404,'Daily Summary'!$A$5:$A$404,"&gt;="&amp;$A6,'Daily Summary'!$A$5:$A$404,"&lt;"&amp;DATE(YEAR($A6),MONTH($A6)+1,1))</f>
        <v>327433</v>
      </c>
      <c r="C6" s="33" t="n">
        <f aca="false">SUMIFS('Daily Summary'!$E$5:$E$404,'Daily Summary'!$A$5:$A$404,"&gt;="&amp;$A6,'Daily Summary'!$A$5:$A$404,"&lt;"&amp;DATE(YEAR($A6),MONTH($A6)+1,1))</f>
        <v>49037563.95</v>
      </c>
      <c r="D6" s="9" t="n">
        <f aca="false">IF($B6=0,"",$C6/$B6)</f>
        <v>149.76365836675</v>
      </c>
      <c r="E6" s="33" t="n">
        <f aca="false">SUMIFS('Daily Summary'!$C$5:$C$404,'Daily Summary'!$A$5:$A$404,"&gt;="&amp;$A6,'Daily Summary'!$A$5:$A$404,"&lt;"&amp;DATE(YEAR($A6),MONTH($A6)+1,1))</f>
        <v>327433</v>
      </c>
      <c r="F6" s="6" t="n">
        <f aca="false">SUMIFS('Daily Summary'!$F$5:$F$404,'Daily Summary'!$A$5:$A$404,"&gt;="&amp;$A6,'Daily Summary'!$A$5:$A$404,"&lt;"&amp;DATE(YEAR($A6),MONTH($A6)+1,1))</f>
        <v>49082226.37</v>
      </c>
      <c r="G6" s="9" t="n">
        <f aca="false">IF($E6=0,"",$F6/$E6)</f>
        <v>149.900060073359</v>
      </c>
      <c r="H6" s="9" t="n">
        <f aca="false">IF(OR($B6=0,$E6=0),"N/A",$G6-$D6)</f>
        <v>0.136401706608666</v>
      </c>
      <c r="I6" s="33" t="n">
        <f aca="false">$B6-$E6</f>
        <v>0</v>
      </c>
      <c r="J6" s="9" t="n">
        <f aca="false">SUMIFS('Daily Summary'!$G$5:$G$404,'Daily Summary'!$A$5:$A$404,"&gt;="&amp;$A6,'Daily Summary'!$A$5:$A$404,"&lt;"&amp;DATE(YEAR($A6),MONTH($A6)+1,1))</f>
        <v>44662.4199999998</v>
      </c>
      <c r="K6" s="6" t="str">
        <f aca="false">IF($E6=0,"—",IF($G6&gt;=Comm_Slab2_Start,"0.0325% of sell value","0.0175 paisa per share"))</f>
        <v>0.0325% of sell value</v>
      </c>
      <c r="L6" s="9" t="n">
        <f aca="false">SUMIFS('Daily Summary'!$H$5:$H$404,'Daily Summary'!$A$5:$A$404,"&gt;="&amp;$A6,'Daily Summary'!$A$5:$A$404,"&lt;"&amp;DATE(YEAR($A6),MONTH($A6)+1,1))</f>
        <v>15853.69207025</v>
      </c>
      <c r="M6" s="9" t="n">
        <f aca="false">SUMIFS('Daily Summary'!$I$5:$I$404,'Daily Summary'!$A$5:$A$404,"&gt;="&amp;$A6,'Daily Summary'!$A$5:$A$404,"&lt;"&amp;DATE(YEAR($A6),MONTH($A6)+1,1))</f>
        <v>2060.9799691325</v>
      </c>
      <c r="N6" s="9" t="n">
        <f aca="false">$L6+$M6</f>
        <v>17914.6720393825</v>
      </c>
      <c r="O6" s="9" t="n">
        <f aca="false">SUMIFS('Daily Summary'!$K$5:$K$404,'Daily Summary'!$A$5:$A$404,"&gt;="&amp;$A6,'Daily Summary'!$A$5:$A$404,"&lt;"&amp;DATE(YEAR($A6),MONTH($A6)+1,1))</f>
        <v>26747.7479606173</v>
      </c>
      <c r="P6" s="10" t="n">
        <f aca="false">IF($C6=0,"N/A",$O6/$C6)</f>
        <v>0.000545454256004438</v>
      </c>
    </row>
    <row r="7" customFormat="false" ht="15" hidden="false" customHeight="false" outlineLevel="0" collapsed="false">
      <c r="A7" s="32" t="n">
        <v>46296</v>
      </c>
      <c r="B7" s="33" t="n">
        <f aca="false">SUMIFS('Daily Summary'!$B$5:$B$404,'Daily Summary'!$A$5:$A$404,"&gt;="&amp;$A7,'Daily Summary'!$A$5:$A$404,"&lt;"&amp;DATE(YEAR($A7),MONTH($A7)+1,1))</f>
        <v>147295</v>
      </c>
      <c r="C7" s="33" t="n">
        <f aca="false">SUMIFS('Daily Summary'!$E$5:$E$404,'Daily Summary'!$A$5:$A$404,"&gt;="&amp;$A7,'Daily Summary'!$A$5:$A$404,"&lt;"&amp;DATE(YEAR($A7),MONTH($A7)+1,1))</f>
        <v>20565317.26</v>
      </c>
      <c r="D7" s="9" t="n">
        <f aca="false">IF($B7=0,"",$C7/$B7)</f>
        <v>139.619927764011</v>
      </c>
      <c r="E7" s="33" t="n">
        <f aca="false">SUMIFS('Daily Summary'!$C$5:$C$404,'Daily Summary'!$A$5:$A$404,"&gt;="&amp;$A7,'Daily Summary'!$A$5:$A$404,"&lt;"&amp;DATE(YEAR($A7),MONTH($A7)+1,1))</f>
        <v>147295</v>
      </c>
      <c r="F7" s="6" t="n">
        <f aca="false">SUMIFS('Daily Summary'!$F$5:$F$404,'Daily Summary'!$A$5:$A$404,"&gt;="&amp;$A7,'Daily Summary'!$A$5:$A$404,"&lt;"&amp;DATE(YEAR($A7),MONTH($A7)+1,1))</f>
        <v>20576243.56</v>
      </c>
      <c r="G7" s="9" t="n">
        <f aca="false">IF($E7=0,"",$F7/$E7)</f>
        <v>139.694107471401</v>
      </c>
      <c r="H7" s="9" t="n">
        <f aca="false">IF(OR($B7=0,$E7=0),"N/A",$G7-$D7)</f>
        <v>0.0741797073899306</v>
      </c>
      <c r="I7" s="33" t="n">
        <f aca="false">$B7-$E7</f>
        <v>0</v>
      </c>
      <c r="J7" s="9" t="n">
        <f aca="false">SUMIFS('Daily Summary'!$G$5:$G$404,'Daily Summary'!$A$5:$A$404,"&gt;="&amp;$A7,'Daily Summary'!$A$5:$A$404,"&lt;"&amp;DATE(YEAR($A7),MONTH($A7)+1,1))</f>
        <v>10926.3000000002</v>
      </c>
      <c r="K7" s="6" t="str">
        <f aca="false">IF($E7=0,"—",IF($G7&gt;=Comm_Slab2_Start,"0.0325% of sell value","0.0175 paisa per share"))</f>
        <v>0.0325% of sell value</v>
      </c>
      <c r="L7" s="9" t="n">
        <f aca="false">SUMIFS('Daily Summary'!$H$5:$H$404,'Daily Summary'!$A$5:$A$404,"&gt;="&amp;$A7,'Daily Summary'!$A$5:$A$404,"&lt;"&amp;DATE(YEAR($A7),MONTH($A7)+1,1))</f>
        <v>6519.119157</v>
      </c>
      <c r="M7" s="9" t="n">
        <f aca="false">SUMIFS('Daily Summary'!$I$5:$I$404,'Daily Summary'!$A$5:$A$404,"&gt;="&amp;$A7,'Daily Summary'!$A$5:$A$404,"&lt;"&amp;DATE(YEAR($A7),MONTH($A7)+1,1))</f>
        <v>847.48549041</v>
      </c>
      <c r="N7" s="9" t="n">
        <f aca="false">$L7+$M7</f>
        <v>7366.60464741</v>
      </c>
      <c r="O7" s="9" t="n">
        <f aca="false">SUMIFS('Daily Summary'!$K$5:$K$404,'Daily Summary'!$A$5:$A$404,"&gt;="&amp;$A7,'Daily Summary'!$A$5:$A$404,"&lt;"&amp;DATE(YEAR($A7),MONTH($A7)+1,1))</f>
        <v>3559.69535259016</v>
      </c>
      <c r="P7" s="10" t="n">
        <f aca="false">IF($C7=0,"N/A",$O7/$C7)</f>
        <v>0.000173092168119081</v>
      </c>
    </row>
    <row r="8" customFormat="false" ht="15" hidden="false" customHeight="false" outlineLevel="0" collapsed="false">
      <c r="A8" s="34" t="s">
        <v>42</v>
      </c>
      <c r="B8" s="24" t="n">
        <f aca="false">SUM(B5:B7)</f>
        <v>520118</v>
      </c>
      <c r="C8" s="24" t="n">
        <f aca="false">SUM(C5:C7)</f>
        <v>74766195.21</v>
      </c>
      <c r="D8" s="25" t="n">
        <f aca="false">IF($B8=0,"",$C8/$B8)</f>
        <v>143.74852477707</v>
      </c>
      <c r="E8" s="24" t="n">
        <f aca="false">SUM(E5:E7)</f>
        <v>520118</v>
      </c>
      <c r="F8" s="34" t="n">
        <f aca="false">SUM(F5:F7)</f>
        <v>74829034.33</v>
      </c>
      <c r="G8" s="25" t="n">
        <f aca="false">IF($E8=0,"",$F8/$E8)</f>
        <v>143.869341822433</v>
      </c>
      <c r="H8" s="25" t="n">
        <f aca="false">IF(OR($B8=0,$E8=0),"N/A",$G8-$D8)</f>
        <v>0.12081704536277</v>
      </c>
      <c r="I8" s="24" t="n">
        <f aca="false">$B8-$E8</f>
        <v>0</v>
      </c>
      <c r="J8" s="25" t="n">
        <f aca="false">SUM(J5:J7)</f>
        <v>62839.12</v>
      </c>
      <c r="K8" s="34"/>
      <c r="L8" s="25" t="n">
        <f aca="false">SUM(L5:L7)</f>
        <v>24053.24465725</v>
      </c>
      <c r="M8" s="25" t="n">
        <f aca="false">SUM(M5:M7)</f>
        <v>3126.9218054425</v>
      </c>
      <c r="N8" s="25" t="n">
        <f aca="false">$L8+$M8</f>
        <v>27180.1664626925</v>
      </c>
      <c r="O8" s="25" t="n">
        <f aca="false">SUM(O5:O7)</f>
        <v>35658.9535373075</v>
      </c>
      <c r="P8" s="26" t="n">
        <f aca="false">IF($C8=0,"N/A",$O8/$C8)</f>
        <v>0.000476939523766726</v>
      </c>
    </row>
    <row r="10" customFormat="false" ht="15" hidden="false" customHeight="false" outlineLevel="0" collapsed="false">
      <c r="A10" s="2" t="s">
        <v>65</v>
      </c>
    </row>
  </sheetData>
  <autoFilter ref="A4:P7"/>
  <conditionalFormatting sqref="J5:J8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N5:O8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P5:P8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P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5" min="14" style="0" width="14"/>
    <col collapsed="false" customWidth="true" hidden="false" outlineLevel="0" max="16" min="16" style="0" width="11"/>
  </cols>
  <sheetData>
    <row r="1" customFormat="false" ht="19.7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30" hidden="false" customHeight="true" outlineLevel="0" collapsed="false">
      <c r="A4" s="18" t="s">
        <v>68</v>
      </c>
      <c r="B4" s="18" t="s">
        <v>33</v>
      </c>
      <c r="C4" s="18" t="s">
        <v>36</v>
      </c>
      <c r="D4" s="18" t="s">
        <v>60</v>
      </c>
      <c r="E4" s="18" t="s">
        <v>34</v>
      </c>
      <c r="F4" s="18" t="s">
        <v>37</v>
      </c>
      <c r="G4" s="18" t="s">
        <v>61</v>
      </c>
      <c r="H4" s="18" t="s">
        <v>62</v>
      </c>
      <c r="I4" s="18" t="s">
        <v>35</v>
      </c>
      <c r="J4" s="18" t="s">
        <v>38</v>
      </c>
      <c r="K4" s="18" t="s">
        <v>63</v>
      </c>
      <c r="L4" s="18" t="s">
        <v>39</v>
      </c>
      <c r="M4" s="18" t="s">
        <v>64</v>
      </c>
      <c r="N4" s="18" t="s">
        <v>41</v>
      </c>
      <c r="O4" s="18" t="s">
        <v>7</v>
      </c>
      <c r="P4" s="18" t="s">
        <v>8</v>
      </c>
    </row>
    <row r="5" customFormat="false" ht="15" hidden="false" customHeight="false" outlineLevel="0" collapsed="false">
      <c r="A5" s="35" t="n">
        <v>2026</v>
      </c>
      <c r="B5" s="33" t="n">
        <f aca="false">SUMIFS('Daily Summary'!$B$5:$B$404,'Daily Summary'!$A$5:$A$404,"&gt;="&amp;$A5,'Daily Summary'!$A$5:$A$404,"&lt;"&amp;DATE($A5+1,1,1))</f>
        <v>520118</v>
      </c>
      <c r="C5" s="33" t="n">
        <f aca="false">SUMIFS('Daily Summary'!$E$5:$E$404,'Daily Summary'!$A$5:$A$404,"&gt;="&amp;$A5,'Daily Summary'!$A$5:$A$404,"&lt;"&amp;DATE($A5+1,1,1))</f>
        <v>74766195.21</v>
      </c>
      <c r="D5" s="9" t="n">
        <f aca="false">IF($B5=0,"",$C5/$B5)</f>
        <v>143.74852477707</v>
      </c>
      <c r="E5" s="33" t="n">
        <f aca="false">SUMIFS('Daily Summary'!$C$5:$C$404,'Daily Summary'!$A$5:$A$404,"&gt;="&amp;$A5,'Daily Summary'!$A$5:$A$404,"&lt;"&amp;DATE($A5+1,1,1))</f>
        <v>520118</v>
      </c>
      <c r="F5" s="6" t="n">
        <f aca="false">SUMIFS('Daily Summary'!$F$5:$F$404,'Daily Summary'!$A$5:$A$404,"&gt;="&amp;$A5,'Daily Summary'!$A$5:$A$404,"&lt;"&amp;DATE($A5+1,1,1))</f>
        <v>74829034.33</v>
      </c>
      <c r="G5" s="9" t="n">
        <f aca="false">IF($E5=0,"",$F5/$E5)</f>
        <v>143.869341822433</v>
      </c>
      <c r="H5" s="9" t="n">
        <f aca="false">IF(OR($B5=0,$E5=0),"N/A",$G5-$D5)</f>
        <v>0.120817045362799</v>
      </c>
      <c r="I5" s="33" t="n">
        <f aca="false">$B5-$E5</f>
        <v>0</v>
      </c>
      <c r="J5" s="9" t="n">
        <f aca="false">SUMIFS('Daily Summary'!$G$5:$G$404,'Daily Summary'!$A$5:$A$404,"&gt;="&amp;$A5,'Daily Summary'!$A$5:$A$404,"&lt;"&amp;DATE($A5+1,1,1))</f>
        <v>62839.12</v>
      </c>
      <c r="K5" s="6" t="str">
        <f aca="false">IF($E5=0,"—",IF($G5&gt;=Comm_Slab2_Start,"0.0325% of sell value","0.0175 paisa per share"))</f>
        <v>0.0325% of sell value</v>
      </c>
      <c r="L5" s="9" t="n">
        <f aca="false">SUMIFS('Daily Summary'!$H$5:$H$404,'Daily Summary'!$A$5:$A$404,"&gt;="&amp;$A5,'Daily Summary'!$A$5:$A$404,"&lt;"&amp;DATE($A5+1,1,1))</f>
        <v>24053.24465725</v>
      </c>
      <c r="M5" s="9" t="n">
        <f aca="false">SUMIFS('Daily Summary'!$I$5:$I$404,'Daily Summary'!$A$5:$A$404,"&gt;="&amp;$A5,'Daily Summary'!$A$5:$A$404,"&lt;"&amp;DATE($A5+1,1,1))</f>
        <v>3126.9218054425</v>
      </c>
      <c r="N5" s="9" t="n">
        <f aca="false">$L5+$M5</f>
        <v>27180.1664626925</v>
      </c>
      <c r="O5" s="9" t="n">
        <f aca="false">SUMIFS('Daily Summary'!$K$5:$K$404,'Daily Summary'!$A$5:$A$404,"&gt;="&amp;$A5,'Daily Summary'!$A$5:$A$404,"&lt;"&amp;DATE($A5+1,1,1))</f>
        <v>35658.9535373075</v>
      </c>
      <c r="P5" s="10" t="n">
        <f aca="false">IF($C5=0,"N/A",$O5/$C5)</f>
        <v>0.000476939523766726</v>
      </c>
    </row>
    <row r="6" customFormat="false" ht="15" hidden="false" customHeight="false" outlineLevel="0" collapsed="false">
      <c r="A6" s="34" t="s">
        <v>42</v>
      </c>
      <c r="B6" s="24" t="n">
        <f aca="false">SUM(B5)</f>
        <v>520118</v>
      </c>
      <c r="C6" s="24" t="n">
        <f aca="false">SUM(C5)</f>
        <v>74766195.21</v>
      </c>
      <c r="D6" s="25" t="n">
        <f aca="false">IF($B6=0,"",$C6/$B6)</f>
        <v>143.74852477707</v>
      </c>
      <c r="E6" s="24" t="n">
        <f aca="false">SUM(E5)</f>
        <v>520118</v>
      </c>
      <c r="F6" s="34" t="n">
        <f aca="false">SUM(F5)</f>
        <v>74829034.33</v>
      </c>
      <c r="G6" s="25" t="n">
        <f aca="false">IF($E6=0,"",$F6/$E6)</f>
        <v>143.869341822433</v>
      </c>
      <c r="H6" s="25" t="n">
        <f aca="false">IF(OR($B6=0,$E6=0),"N/A",$G6-$D6)</f>
        <v>0.120817045362799</v>
      </c>
      <c r="I6" s="24" t="n">
        <f aca="false">$B6-$E6</f>
        <v>0</v>
      </c>
      <c r="J6" s="25" t="n">
        <f aca="false">SUM(J5)</f>
        <v>62839.12</v>
      </c>
      <c r="K6" s="34"/>
      <c r="L6" s="25" t="n">
        <f aca="false">SUM(L5)</f>
        <v>24053.24465725</v>
      </c>
      <c r="M6" s="25" t="n">
        <f aca="false">SUM(M5)</f>
        <v>3126.9218054425</v>
      </c>
      <c r="N6" s="25" t="n">
        <f aca="false">$L6+$M6</f>
        <v>27180.1664626925</v>
      </c>
      <c r="O6" s="25" t="n">
        <f aca="false">SUM(O5)</f>
        <v>35658.9535373075</v>
      </c>
      <c r="P6" s="26" t="n">
        <f aca="false">IF($C6=0,"N/A",$O6/$C6)</f>
        <v>0.000476939523766726</v>
      </c>
    </row>
    <row r="8" customFormat="false" ht="15" hidden="false" customHeight="false" outlineLevel="0" collapsed="false">
      <c r="A8" s="2" t="s">
        <v>65</v>
      </c>
    </row>
  </sheetData>
  <autoFilter ref="A4:P5"/>
  <conditionalFormatting sqref="J5:J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N5:O6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P5:P6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5" min="4" style="0" width="16"/>
    <col collapsed="false" customWidth="true" hidden="false" outlineLevel="0" max="7" min="6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1"/>
  </cols>
  <sheetData>
    <row r="1" customFormat="false" ht="19.7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4" customFormat="false" ht="30" hidden="false" customHeight="true" outlineLevel="0" collapsed="false">
      <c r="A4" s="18" t="s">
        <v>71</v>
      </c>
      <c r="B4" s="18" t="s">
        <v>33</v>
      </c>
      <c r="C4" s="18" t="s">
        <v>34</v>
      </c>
      <c r="D4" s="18" t="s">
        <v>36</v>
      </c>
      <c r="E4" s="18" t="s">
        <v>37</v>
      </c>
      <c r="F4" s="18" t="s">
        <v>38</v>
      </c>
      <c r="G4" s="18" t="s">
        <v>39</v>
      </c>
      <c r="H4" s="18" t="s">
        <v>40</v>
      </c>
      <c r="I4" s="18" t="s">
        <v>7</v>
      </c>
      <c r="J4" s="18" t="s">
        <v>8</v>
      </c>
    </row>
    <row r="5" customFormat="false" ht="15" hidden="false" customHeight="false" outlineLevel="0" collapsed="false">
      <c r="A5" s="36" t="s">
        <v>72</v>
      </c>
      <c r="B5" s="37" t="n">
        <f aca="false">SUMIF('Daily Trade Summary'!$A:$A,$A5,'Daily Trade Summary'!$B:$B)</f>
        <v>207500</v>
      </c>
      <c r="C5" s="37" t="n">
        <f aca="false">SUMIF('Daily Trade Summary'!$A:$A,$A5,'Daily Trade Summary'!$E:$E)</f>
        <v>207500</v>
      </c>
      <c r="D5" s="38" t="n">
        <f aca="false">SUMIF('Daily Trade Summary'!$A:$A,$A5,'Daily Trade Summary'!$C:$C)</f>
        <v>18362740</v>
      </c>
      <c r="E5" s="38" t="n">
        <f aca="false">SUMIF('Daily Trade Summary'!$A:$A,$A5,'Daily Trade Summary'!$F:$F)</f>
        <v>18383940</v>
      </c>
      <c r="F5" s="38" t="n">
        <f aca="false">$E5-$D5</f>
        <v>21200</v>
      </c>
      <c r="G5" s="38" t="n">
        <f aca="false">SUMIF('Daily Trade Summary'!$A:$A,$A5,'Daily Trade Summary'!$L:$L)</f>
        <v>5974.7805</v>
      </c>
      <c r="H5" s="38" t="n">
        <f aca="false">$G5*SST_Rate</f>
        <v>776.721465</v>
      </c>
      <c r="I5" s="38" t="n">
        <f aca="false">$F5-$G5-$H5</f>
        <v>14448.498035</v>
      </c>
      <c r="J5" s="39" t="n">
        <f aca="false">IF($D5=0,"N/A",$I5/$D5)</f>
        <v>0.000786837804978995</v>
      </c>
      <c r="K5" s="40" t="s">
        <v>73</v>
      </c>
    </row>
    <row r="6" customFormat="false" ht="15" hidden="false" customHeight="false" outlineLevel="0" collapsed="false">
      <c r="A6" s="0" t="s">
        <v>74</v>
      </c>
      <c r="B6" s="20" t="n">
        <f aca="false">SUMIF('Daily Trade Summary'!$A:$A,$A6,'Daily Trade Summary'!$B:$B)</f>
        <v>18500</v>
      </c>
      <c r="C6" s="20" t="n">
        <f aca="false">SUMIF('Daily Trade Summary'!$A:$A,$A6,'Daily Trade Summary'!$E:$E)</f>
        <v>18500</v>
      </c>
      <c r="D6" s="21" t="n">
        <f aca="false">SUMIF('Daily Trade Summary'!$A:$A,$A6,'Daily Trade Summary'!$C:$C)</f>
        <v>9363020</v>
      </c>
      <c r="E6" s="21" t="n">
        <f aca="false">SUMIF('Daily Trade Summary'!$A:$A,$A6,'Daily Trade Summary'!$F:$F)</f>
        <v>9376610</v>
      </c>
      <c r="F6" s="21" t="n">
        <f aca="false">$E6-$D6</f>
        <v>13590</v>
      </c>
      <c r="G6" s="21" t="n">
        <f aca="false">SUMIF('Daily Trade Summary'!$A:$A,$A6,'Daily Trade Summary'!$L:$L)</f>
        <v>3047.39825</v>
      </c>
      <c r="H6" s="21" t="n">
        <f aca="false">$G6*SST_Rate</f>
        <v>396.1617725</v>
      </c>
      <c r="I6" s="21" t="n">
        <f aca="false">$F6-$G6-$H6</f>
        <v>10146.4399775</v>
      </c>
      <c r="J6" s="22" t="n">
        <f aca="false">IF($D6=0,"N/A",$I6/$D6)</f>
        <v>0.00108367171890053</v>
      </c>
    </row>
    <row r="7" customFormat="false" ht="15" hidden="false" customHeight="false" outlineLevel="0" collapsed="false">
      <c r="A7" s="0" t="s">
        <v>75</v>
      </c>
      <c r="B7" s="20" t="n">
        <f aca="false">SUMIF('Daily Trade Summary'!$A:$A,$A7,'Daily Trade Summary'!$B:$B)</f>
        <v>13000</v>
      </c>
      <c r="C7" s="20" t="n">
        <f aca="false">SUMIF('Daily Trade Summary'!$A:$A,$A7,'Daily Trade Summary'!$E:$E)</f>
        <v>13000</v>
      </c>
      <c r="D7" s="21" t="n">
        <f aca="false">SUMIF('Daily Trade Summary'!$A:$A,$A7,'Daily Trade Summary'!$C:$C)</f>
        <v>2877240</v>
      </c>
      <c r="E7" s="21" t="n">
        <f aca="false">SUMIF('Daily Trade Summary'!$A:$A,$A7,'Daily Trade Summary'!$F:$F)</f>
        <v>2883570</v>
      </c>
      <c r="F7" s="21" t="n">
        <f aca="false">$E7-$D7</f>
        <v>6330</v>
      </c>
      <c r="G7" s="21" t="n">
        <f aca="false">SUMIF('Daily Trade Summary'!$A:$A,$A7,'Daily Trade Summary'!$L:$L)</f>
        <v>937.16025</v>
      </c>
      <c r="H7" s="21" t="n">
        <f aca="false">$G7*SST_Rate</f>
        <v>121.8308325</v>
      </c>
      <c r="I7" s="21" t="n">
        <f aca="false">$F7-$G7-$H7</f>
        <v>5271.0089175</v>
      </c>
      <c r="J7" s="22" t="n">
        <f aca="false">IF($D7=0,"N/A",$I7/$D7)</f>
        <v>0.00183196706479126</v>
      </c>
    </row>
    <row r="8" customFormat="false" ht="15" hidden="false" customHeight="false" outlineLevel="0" collapsed="false">
      <c r="A8" s="0" t="s">
        <v>76</v>
      </c>
      <c r="B8" s="20" t="n">
        <f aca="false">SUMIF('Daily Trade Summary'!$A:$A,$A8,'Daily Trade Summary'!$B:$B)</f>
        <v>25602</v>
      </c>
      <c r="C8" s="20" t="n">
        <f aca="false">SUMIF('Daily Trade Summary'!$A:$A,$A8,'Daily Trade Summary'!$E:$E)</f>
        <v>25602</v>
      </c>
      <c r="D8" s="21" t="n">
        <f aca="false">SUMIF('Daily Trade Summary'!$A:$A,$A8,'Daily Trade Summary'!$C:$C)</f>
        <v>4912800.04</v>
      </c>
      <c r="E8" s="21" t="n">
        <f aca="false">SUMIF('Daily Trade Summary'!$A:$A,$A8,'Daily Trade Summary'!$F:$F)</f>
        <v>4919106.47</v>
      </c>
      <c r="F8" s="21" t="n">
        <f aca="false">$E8-$D8</f>
        <v>6306.4299999997</v>
      </c>
      <c r="G8" s="21" t="n">
        <f aca="false">SUMIF('Daily Trade Summary'!$A:$A,$A8,'Daily Trade Summary'!$L:$L)</f>
        <v>1598.70960275</v>
      </c>
      <c r="H8" s="21" t="n">
        <f aca="false">$G8*SST_Rate</f>
        <v>207.8322483575</v>
      </c>
      <c r="I8" s="21" t="n">
        <f aca="false">$F8-$G8-$H8</f>
        <v>4499.8881488922</v>
      </c>
      <c r="J8" s="22" t="n">
        <f aca="false">IF($D8=0,"N/A",$I8/$D8)</f>
        <v>0.000915951822230526</v>
      </c>
    </row>
    <row r="9" customFormat="false" ht="15" hidden="false" customHeight="false" outlineLevel="0" collapsed="false">
      <c r="A9" s="0" t="s">
        <v>77</v>
      </c>
      <c r="B9" s="20" t="n">
        <f aca="false">SUMIF('Daily Trade Summary'!$A:$A,$A9,'Daily Trade Summary'!$B:$B)</f>
        <v>20004</v>
      </c>
      <c r="C9" s="20" t="n">
        <f aca="false">SUMIF('Daily Trade Summary'!$A:$A,$A9,'Daily Trade Summary'!$E:$E)</f>
        <v>20004</v>
      </c>
      <c r="D9" s="21" t="n">
        <f aca="false">SUMIF('Daily Trade Summary'!$A:$A,$A9,'Daily Trade Summary'!$C:$C)</f>
        <v>1675013.52</v>
      </c>
      <c r="E9" s="21" t="n">
        <f aca="false">SUMIF('Daily Trade Summary'!$A:$A,$A9,'Daily Trade Summary'!$F:$F)</f>
        <v>1678964.16</v>
      </c>
      <c r="F9" s="21" t="n">
        <f aca="false">$E9-$D9</f>
        <v>3950.6399999999</v>
      </c>
      <c r="G9" s="21" t="n">
        <f aca="false">SUMIF('Daily Trade Summary'!$A:$A,$A9,'Daily Trade Summary'!$L:$L)</f>
        <v>545.663352</v>
      </c>
      <c r="H9" s="21" t="n">
        <f aca="false">$G9*SST_Rate</f>
        <v>70.93623576</v>
      </c>
      <c r="I9" s="21" t="n">
        <f aca="false">$F9-$G9-$H9</f>
        <v>3334.0404122399</v>
      </c>
      <c r="J9" s="22" t="n">
        <f aca="false">IF($D9=0,"N/A",$I9/$D9)</f>
        <v>0.00199045582165802</v>
      </c>
    </row>
    <row r="10" customFormat="false" ht="15" hidden="false" customHeight="false" outlineLevel="0" collapsed="false">
      <c r="A10" s="0" t="s">
        <v>78</v>
      </c>
      <c r="B10" s="20" t="n">
        <f aca="false">SUMIF('Daily Trade Summary'!$A:$A,$A10,'Daily Trade Summary'!$B:$B)</f>
        <v>6000</v>
      </c>
      <c r="C10" s="20" t="n">
        <f aca="false">SUMIF('Daily Trade Summary'!$A:$A,$A10,'Daily Trade Summary'!$E:$E)</f>
        <v>6000</v>
      </c>
      <c r="D10" s="21" t="n">
        <f aca="false">SUMIF('Daily Trade Summary'!$A:$A,$A10,'Daily Trade Summary'!$C:$C)</f>
        <v>1906825</v>
      </c>
      <c r="E10" s="21" t="n">
        <f aca="false">SUMIF('Daily Trade Summary'!$A:$A,$A10,'Daily Trade Summary'!$F:$F)</f>
        <v>1910750</v>
      </c>
      <c r="F10" s="21" t="n">
        <f aca="false">$E10-$D10</f>
        <v>3925</v>
      </c>
      <c r="G10" s="21" t="n">
        <f aca="false">SUMIF('Daily Trade Summary'!$A:$A,$A10,'Daily Trade Summary'!$L:$L)</f>
        <v>620.99375</v>
      </c>
      <c r="H10" s="21" t="n">
        <f aca="false">$G10*SST_Rate</f>
        <v>80.7291875</v>
      </c>
      <c r="I10" s="21" t="n">
        <f aca="false">$F10-$G10-$H10</f>
        <v>3223.2770625</v>
      </c>
      <c r="J10" s="22" t="n">
        <f aca="false">IF($D10=0,"N/A",$I10/$D10)</f>
        <v>0.00169038955462615</v>
      </c>
    </row>
    <row r="11" customFormat="false" ht="15" hidden="false" customHeight="false" outlineLevel="0" collapsed="false">
      <c r="A11" s="0" t="s">
        <v>79</v>
      </c>
      <c r="B11" s="20" t="n">
        <f aca="false">SUMIF('Daily Trade Summary'!$A:$A,$A11,'Daily Trade Summary'!$B:$B)</f>
        <v>11000</v>
      </c>
      <c r="C11" s="20" t="n">
        <f aca="false">SUMIF('Daily Trade Summary'!$A:$A,$A11,'Daily Trade Summary'!$E:$E)</f>
        <v>11000</v>
      </c>
      <c r="D11" s="21" t="n">
        <f aca="false">SUMIF('Daily Trade Summary'!$A:$A,$A11,'Daily Trade Summary'!$C:$C)</f>
        <v>606785</v>
      </c>
      <c r="E11" s="21" t="n">
        <f aca="false">SUMIF('Daily Trade Summary'!$A:$A,$A11,'Daily Trade Summary'!$F:$F)</f>
        <v>610160</v>
      </c>
      <c r="F11" s="21" t="n">
        <f aca="false">$E11-$D11</f>
        <v>3375</v>
      </c>
      <c r="G11" s="21" t="n">
        <f aca="false">SUMIF('Daily Trade Summary'!$A:$A,$A11,'Daily Trade Summary'!$L:$L)</f>
        <v>198.302</v>
      </c>
      <c r="H11" s="21" t="n">
        <f aca="false">$G11*SST_Rate</f>
        <v>25.77926</v>
      </c>
      <c r="I11" s="21" t="n">
        <f aca="false">$F11-$G11-$H11</f>
        <v>3150.91874</v>
      </c>
      <c r="J11" s="22" t="n">
        <f aca="false">IF($D11=0,"N/A",$I11/$D11)</f>
        <v>0.00519280921578483</v>
      </c>
    </row>
    <row r="12" customFormat="false" ht="15" hidden="false" customHeight="false" outlineLevel="0" collapsed="false">
      <c r="A12" s="0" t="s">
        <v>80</v>
      </c>
      <c r="B12" s="20" t="n">
        <f aca="false">SUMIF('Daily Trade Summary'!$A:$A,$A12,'Daily Trade Summary'!$B:$B)</f>
        <v>12615</v>
      </c>
      <c r="C12" s="20" t="n">
        <f aca="false">SUMIF('Daily Trade Summary'!$A:$A,$A12,'Daily Trade Summary'!$E:$E)</f>
        <v>12615</v>
      </c>
      <c r="D12" s="21" t="n">
        <f aca="false">SUMIF('Daily Trade Summary'!$A:$A,$A12,'Daily Trade Summary'!$C:$C)</f>
        <v>1149344.12</v>
      </c>
      <c r="E12" s="21" t="n">
        <f aca="false">SUMIF('Daily Trade Summary'!$A:$A,$A12,'Daily Trade Summary'!$F:$F)</f>
        <v>1152061.33</v>
      </c>
      <c r="F12" s="21" t="n">
        <f aca="false">$E12-$D12</f>
        <v>2717.2100000002</v>
      </c>
      <c r="G12" s="21" t="n">
        <f aca="false">SUMIF('Daily Trade Summary'!$A:$A,$A12,'Daily Trade Summary'!$L:$L)</f>
        <v>374.41993225</v>
      </c>
      <c r="H12" s="21" t="n">
        <f aca="false">$G12*SST_Rate</f>
        <v>48.6745911925</v>
      </c>
      <c r="I12" s="21" t="n">
        <f aca="false">$F12-$G12-$H12</f>
        <v>2294.1154765577</v>
      </c>
      <c r="J12" s="22" t="n">
        <f aca="false">IF($D12=0,"N/A",$I12/$D12)</f>
        <v>0.00199602141485502</v>
      </c>
    </row>
    <row r="13" customFormat="false" ht="15" hidden="false" customHeight="false" outlineLevel="0" collapsed="false">
      <c r="A13" s="0" t="s">
        <v>81</v>
      </c>
      <c r="B13" s="20" t="n">
        <f aca="false">SUMIF('Daily Trade Summary'!$A:$A,$A13,'Daily Trade Summary'!$B:$B)</f>
        <v>8006</v>
      </c>
      <c r="C13" s="20" t="n">
        <f aca="false">SUMIF('Daily Trade Summary'!$A:$A,$A13,'Daily Trade Summary'!$E:$E)</f>
        <v>8006</v>
      </c>
      <c r="D13" s="21" t="n">
        <f aca="false">SUMIF('Daily Trade Summary'!$A:$A,$A13,'Daily Trade Summary'!$C:$C)</f>
        <v>4820089.31</v>
      </c>
      <c r="E13" s="21" t="n">
        <f aca="false">SUMIF('Daily Trade Summary'!$A:$A,$A13,'Daily Trade Summary'!$F:$F)</f>
        <v>4823882.9</v>
      </c>
      <c r="F13" s="21" t="n">
        <f aca="false">$E13-$D13</f>
        <v>3793.59000000078</v>
      </c>
      <c r="G13" s="21" t="n">
        <f aca="false">SUMIF('Daily Trade Summary'!$A:$A,$A13,'Daily Trade Summary'!$L:$L)</f>
        <v>1567.7619425</v>
      </c>
      <c r="H13" s="21" t="n">
        <f aca="false">$G13*SST_Rate</f>
        <v>203.809052525</v>
      </c>
      <c r="I13" s="21" t="n">
        <f aca="false">$F13-$G13-$H13</f>
        <v>2022.01900497578</v>
      </c>
      <c r="J13" s="22" t="n">
        <f aca="false">IF($D13=0,"N/A",$I13/$D13)</f>
        <v>0.000419498244727707</v>
      </c>
    </row>
    <row r="14" customFormat="false" ht="15" hidden="false" customHeight="false" outlineLevel="0" collapsed="false">
      <c r="A14" s="0" t="s">
        <v>82</v>
      </c>
      <c r="B14" s="20" t="n">
        <f aca="false">SUMIF('Daily Trade Summary'!$A:$A,$A14,'Daily Trade Summary'!$B:$B)</f>
        <v>1000</v>
      </c>
      <c r="C14" s="20" t="n">
        <f aca="false">SUMIF('Daily Trade Summary'!$A:$A,$A14,'Daily Trade Summary'!$E:$E)</f>
        <v>1000</v>
      </c>
      <c r="D14" s="21" t="n">
        <f aca="false">SUMIF('Daily Trade Summary'!$A:$A,$A14,'Daily Trade Summary'!$C:$C)</f>
        <v>313550</v>
      </c>
      <c r="E14" s="21" t="n">
        <f aca="false">SUMIF('Daily Trade Summary'!$A:$A,$A14,'Daily Trade Summary'!$F:$F)</f>
        <v>315450</v>
      </c>
      <c r="F14" s="21" t="n">
        <f aca="false">$E14-$D14</f>
        <v>1900</v>
      </c>
      <c r="G14" s="21" t="n">
        <f aca="false">SUMIF('Daily Trade Summary'!$A:$A,$A14,'Daily Trade Summary'!$L:$L)</f>
        <v>102.52125</v>
      </c>
      <c r="H14" s="21" t="n">
        <f aca="false">$G14*SST_Rate</f>
        <v>13.3277625</v>
      </c>
      <c r="I14" s="21" t="n">
        <f aca="false">$F14-$G14-$H14</f>
        <v>1784.1509875</v>
      </c>
      <c r="J14" s="22" t="n">
        <f aca="false">IF($D14=0,"N/A",$I14/$D14)</f>
        <v>0.00569016420826025</v>
      </c>
    </row>
    <row r="15" customFormat="false" ht="15" hidden="false" customHeight="false" outlineLevel="0" collapsed="false">
      <c r="A15" s="0" t="s">
        <v>83</v>
      </c>
      <c r="B15" s="20" t="n">
        <f aca="false">SUMIF('Daily Trade Summary'!$A:$A,$A15,'Daily Trade Summary'!$B:$B)</f>
        <v>7500</v>
      </c>
      <c r="C15" s="20" t="n">
        <f aca="false">SUMIF('Daily Trade Summary'!$A:$A,$A15,'Daily Trade Summary'!$E:$E)</f>
        <v>7500</v>
      </c>
      <c r="D15" s="21" t="n">
        <f aca="false">SUMIF('Daily Trade Summary'!$A:$A,$A15,'Daily Trade Summary'!$C:$C)</f>
        <v>4810945</v>
      </c>
      <c r="E15" s="21" t="n">
        <f aca="false">SUMIF('Daily Trade Summary'!$A:$A,$A15,'Daily Trade Summary'!$F:$F)</f>
        <v>4814205</v>
      </c>
      <c r="F15" s="21" t="n">
        <f aca="false">$E15-$D15</f>
        <v>3260</v>
      </c>
      <c r="G15" s="21" t="n">
        <f aca="false">SUMIF('Daily Trade Summary'!$A:$A,$A15,'Daily Trade Summary'!$L:$L)</f>
        <v>1564.616625</v>
      </c>
      <c r="H15" s="21" t="n">
        <f aca="false">$G15*SST_Rate</f>
        <v>203.40016125</v>
      </c>
      <c r="I15" s="21" t="n">
        <f aca="false">$F15-$G15-$H15</f>
        <v>1491.98321375</v>
      </c>
      <c r="J15" s="22" t="n">
        <f aca="false">IF($D15=0,"N/A",$I15/$D15)</f>
        <v>0.000310122691851601</v>
      </c>
    </row>
    <row r="16" customFormat="false" ht="15" hidden="false" customHeight="false" outlineLevel="0" collapsed="false">
      <c r="A16" s="0" t="s">
        <v>84</v>
      </c>
      <c r="B16" s="20" t="n">
        <f aca="false">SUMIF('Daily Trade Summary'!$A:$A,$A16,'Daily Trade Summary'!$B:$B)</f>
        <v>1000</v>
      </c>
      <c r="C16" s="20" t="n">
        <f aca="false">SUMIF('Daily Trade Summary'!$A:$A,$A16,'Daily Trade Summary'!$E:$E)</f>
        <v>1000</v>
      </c>
      <c r="D16" s="21" t="n">
        <f aca="false">SUMIF('Daily Trade Summary'!$A:$A,$A16,'Daily Trade Summary'!$C:$C)</f>
        <v>344000</v>
      </c>
      <c r="E16" s="21" t="n">
        <f aca="false">SUMIF('Daily Trade Summary'!$A:$A,$A16,'Daily Trade Summary'!$F:$F)</f>
        <v>345250</v>
      </c>
      <c r="F16" s="21" t="n">
        <f aca="false">$E16-$D16</f>
        <v>1250</v>
      </c>
      <c r="G16" s="21" t="n">
        <f aca="false">SUMIF('Daily Trade Summary'!$A:$A,$A16,'Daily Trade Summary'!$L:$L)</f>
        <v>112.20625</v>
      </c>
      <c r="H16" s="21" t="n">
        <f aca="false">$G16*SST_Rate</f>
        <v>14.5868125</v>
      </c>
      <c r="I16" s="21" t="n">
        <f aca="false">$F16-$G16-$H16</f>
        <v>1123.2069375</v>
      </c>
      <c r="J16" s="22" t="n">
        <f aca="false">IF($D16=0,"N/A",$I16/$D16)</f>
        <v>0.00326513644622093</v>
      </c>
    </row>
    <row r="17" customFormat="false" ht="15" hidden="false" customHeight="false" outlineLevel="0" collapsed="false">
      <c r="A17" s="0" t="s">
        <v>85</v>
      </c>
      <c r="B17" s="20" t="n">
        <f aca="false">SUMIF('Daily Trade Summary'!$A:$A,$A17,'Daily Trade Summary'!$B:$B)</f>
        <v>2500</v>
      </c>
      <c r="C17" s="20" t="n">
        <f aca="false">SUMIF('Daily Trade Summary'!$A:$A,$A17,'Daily Trade Summary'!$E:$E)</f>
        <v>2500</v>
      </c>
      <c r="D17" s="21" t="n">
        <f aca="false">SUMIF('Daily Trade Summary'!$A:$A,$A17,'Daily Trade Summary'!$C:$C)</f>
        <v>189125</v>
      </c>
      <c r="E17" s="21" t="n">
        <f aca="false">SUMIF('Daily Trade Summary'!$A:$A,$A17,'Daily Trade Summary'!$F:$F)</f>
        <v>190000</v>
      </c>
      <c r="F17" s="21" t="n">
        <f aca="false">$E17-$D17</f>
        <v>875</v>
      </c>
      <c r="G17" s="21" t="n">
        <f aca="false">SUMIF('Daily Trade Summary'!$A:$A,$A17,'Daily Trade Summary'!$L:$L)</f>
        <v>61.75</v>
      </c>
      <c r="H17" s="21" t="n">
        <f aca="false">$G17*SST_Rate</f>
        <v>8.0275</v>
      </c>
      <c r="I17" s="21" t="n">
        <f aca="false">$F17-$G17-$H17</f>
        <v>805.2225</v>
      </c>
      <c r="J17" s="22" t="n">
        <f aca="false">IF($D17=0,"N/A",$I17/$D17)</f>
        <v>0.00425762062128222</v>
      </c>
    </row>
    <row r="18" customFormat="false" ht="15" hidden="false" customHeight="false" outlineLevel="0" collapsed="false">
      <c r="A18" s="0" t="s">
        <v>86</v>
      </c>
      <c r="B18" s="20" t="n">
        <f aca="false">SUMIF('Daily Trade Summary'!$A:$A,$A18,'Daily Trade Summary'!$B:$B)</f>
        <v>9500</v>
      </c>
      <c r="C18" s="20" t="n">
        <f aca="false">SUMIF('Daily Trade Summary'!$A:$A,$A18,'Daily Trade Summary'!$E:$E)</f>
        <v>9500</v>
      </c>
      <c r="D18" s="21" t="n">
        <f aca="false">SUMIF('Daily Trade Summary'!$A:$A,$A18,'Daily Trade Summary'!$C:$C)</f>
        <v>3075524.82</v>
      </c>
      <c r="E18" s="21" t="n">
        <f aca="false">SUMIF('Daily Trade Summary'!$A:$A,$A18,'Daily Trade Summary'!$F:$F)</f>
        <v>3076904.78</v>
      </c>
      <c r="F18" s="21" t="n">
        <f aca="false">$E18-$D18</f>
        <v>1379.95999999996</v>
      </c>
      <c r="G18" s="21" t="n">
        <f aca="false">SUMIF('Daily Trade Summary'!$A:$A,$A18,'Daily Trade Summary'!$L:$L)</f>
        <v>999.9940535</v>
      </c>
      <c r="H18" s="21" t="n">
        <f aca="false">$G18*SST_Rate</f>
        <v>129.999226955</v>
      </c>
      <c r="I18" s="21" t="n">
        <f aca="false">$F18-$G18-$H18</f>
        <v>249.966719544963</v>
      </c>
      <c r="J18" s="22" t="n">
        <f aca="false">IF($D18=0,"N/A",$I18/$D18)</f>
        <v>8.12761184430834E-005</v>
      </c>
    </row>
    <row r="19" customFormat="false" ht="15" hidden="false" customHeight="false" outlineLevel="0" collapsed="false">
      <c r="A19" s="0" t="s">
        <v>87</v>
      </c>
      <c r="B19" s="20" t="n">
        <f aca="false">SUMIF('Daily Trade Summary'!$A:$A,$A19,'Daily Trade Summary'!$B:$B)</f>
        <v>10000</v>
      </c>
      <c r="C19" s="20" t="n">
        <f aca="false">SUMIF('Daily Trade Summary'!$A:$A,$A19,'Daily Trade Summary'!$E:$E)</f>
        <v>10000</v>
      </c>
      <c r="D19" s="21" t="n">
        <f aca="false">SUMIF('Daily Trade Summary'!$A:$A,$A19,'Daily Trade Summary'!$C:$C)</f>
        <v>769050</v>
      </c>
      <c r="E19" s="21" t="n">
        <f aca="false">SUMIF('Daily Trade Summary'!$A:$A,$A19,'Daily Trade Summary'!$F:$F)</f>
        <v>769540</v>
      </c>
      <c r="F19" s="21" t="n">
        <f aca="false">$E19-$D19</f>
        <v>490</v>
      </c>
      <c r="G19" s="21" t="n">
        <f aca="false">SUMIF('Daily Trade Summary'!$A:$A,$A19,'Daily Trade Summary'!$L:$L)</f>
        <v>250.1005</v>
      </c>
      <c r="H19" s="21" t="n">
        <f aca="false">$G19*SST_Rate</f>
        <v>32.513065</v>
      </c>
      <c r="I19" s="21" t="n">
        <f aca="false">$F19-$G19-$H19</f>
        <v>207.386435</v>
      </c>
      <c r="J19" s="22" t="n">
        <f aca="false">IF($D19=0,"N/A",$I19/$D19)</f>
        <v>0.000269665736948183</v>
      </c>
    </row>
    <row r="20" customFormat="false" ht="15" hidden="false" customHeight="false" outlineLevel="0" collapsed="false">
      <c r="A20" s="0" t="s">
        <v>88</v>
      </c>
      <c r="B20" s="20" t="n">
        <f aca="false">SUMIF('Daily Trade Summary'!$A:$A,$A20,'Daily Trade Summary'!$B:$B)</f>
        <v>2000</v>
      </c>
      <c r="C20" s="20" t="n">
        <f aca="false">SUMIF('Daily Trade Summary'!$A:$A,$A20,'Daily Trade Summary'!$E:$E)</f>
        <v>2000</v>
      </c>
      <c r="D20" s="21" t="n">
        <f aca="false">SUMIF('Daily Trade Summary'!$A:$A,$A20,'Daily Trade Summary'!$C:$C)</f>
        <v>688110</v>
      </c>
      <c r="E20" s="21" t="n">
        <f aca="false">SUMIF('Daily Trade Summary'!$A:$A,$A20,'Daily Trade Summary'!$F:$F)</f>
        <v>688425</v>
      </c>
      <c r="F20" s="21" t="n">
        <f aca="false">$E20-$D20</f>
        <v>315</v>
      </c>
      <c r="G20" s="21" t="n">
        <f aca="false">SUMIF('Daily Trade Summary'!$A:$A,$A20,'Daily Trade Summary'!$L:$L)</f>
        <v>223.738125</v>
      </c>
      <c r="H20" s="21" t="n">
        <f aca="false">$G20*SST_Rate</f>
        <v>29.08595625</v>
      </c>
      <c r="I20" s="21" t="n">
        <f aca="false">$F20-$G20-$H20</f>
        <v>62.17591875</v>
      </c>
      <c r="J20" s="22" t="n">
        <f aca="false">IF($D20=0,"N/A",$I20/$D20)</f>
        <v>9.03575282294982E-005</v>
      </c>
    </row>
    <row r="21" customFormat="false" ht="15" hidden="false" customHeight="false" outlineLevel="0" collapsed="false">
      <c r="A21" s="0" t="s">
        <v>89</v>
      </c>
      <c r="B21" s="20" t="n">
        <f aca="false">SUMIF('Daily Trade Summary'!$A:$A,$A21,'Daily Trade Summary'!$B:$B)</f>
        <v>1</v>
      </c>
      <c r="C21" s="20" t="n">
        <f aca="false">SUMIF('Daily Trade Summary'!$A:$A,$A21,'Daily Trade Summary'!$E:$E)</f>
        <v>1</v>
      </c>
      <c r="D21" s="21" t="n">
        <f aca="false">SUMIF('Daily Trade Summary'!$A:$A,$A21,'Daily Trade Summary'!$C:$C)</f>
        <v>222.6</v>
      </c>
      <c r="E21" s="21" t="n">
        <f aca="false">SUMIF('Daily Trade Summary'!$A:$A,$A21,'Daily Trade Summary'!$F:$F)</f>
        <v>222.95</v>
      </c>
      <c r="F21" s="21" t="n">
        <f aca="false">$E21-$D21</f>
        <v>0.349999999999994</v>
      </c>
      <c r="G21" s="21" t="n">
        <f aca="false">SUMIF('Daily Trade Summary'!$A:$A,$A21,'Daily Trade Summary'!$L:$L)</f>
        <v>0.07245875</v>
      </c>
      <c r="H21" s="21" t="n">
        <f aca="false">$G21*SST_Rate</f>
        <v>0.0094196375</v>
      </c>
      <c r="I21" s="21" t="n">
        <f aca="false">$F21-$G21-$H21</f>
        <v>0.268121612499994</v>
      </c>
      <c r="J21" s="22" t="n">
        <f aca="false">IF($D21=0,"N/A",$I21/$D21)</f>
        <v>0.00120449960691821</v>
      </c>
    </row>
    <row r="22" customFormat="false" ht="15" hidden="false" customHeight="false" outlineLevel="0" collapsed="false">
      <c r="A22" s="0" t="s">
        <v>90</v>
      </c>
      <c r="B22" s="20" t="n">
        <f aca="false">SUMIF('Daily Trade Summary'!$A:$A,$A22,'Daily Trade Summary'!$B:$B)</f>
        <v>1000</v>
      </c>
      <c r="C22" s="20" t="n">
        <f aca="false">SUMIF('Daily Trade Summary'!$A:$A,$A22,'Daily Trade Summary'!$E:$E)</f>
        <v>1000</v>
      </c>
      <c r="D22" s="21" t="n">
        <f aca="false">SUMIF('Daily Trade Summary'!$A:$A,$A22,'Daily Trade Summary'!$C:$C)</f>
        <v>545000</v>
      </c>
      <c r="E22" s="21" t="n">
        <f aca="false">SUMIF('Daily Trade Summary'!$A:$A,$A22,'Daily Trade Summary'!$F:$F)</f>
        <v>545100</v>
      </c>
      <c r="F22" s="21" t="n">
        <f aca="false">$E22-$D22</f>
        <v>100</v>
      </c>
      <c r="G22" s="21" t="n">
        <f aca="false">SUMIF('Daily Trade Summary'!$A:$A,$A22,'Daily Trade Summary'!$L:$L)</f>
        <v>177.1575</v>
      </c>
      <c r="H22" s="21" t="n">
        <f aca="false">$G22*SST_Rate</f>
        <v>23.030475</v>
      </c>
      <c r="I22" s="21" t="n">
        <f aca="false">$F22-$G22-$H22</f>
        <v>-100.187975</v>
      </c>
      <c r="J22" s="22" t="n">
        <f aca="false">IF($D22=0,"N/A",$I22/$D22)</f>
        <v>-0.000183831146788991</v>
      </c>
    </row>
    <row r="23" customFormat="false" ht="15" hidden="false" customHeight="false" outlineLevel="0" collapsed="false">
      <c r="A23" s="0" t="s">
        <v>91</v>
      </c>
      <c r="B23" s="20" t="n">
        <f aca="false">SUMIF('Daily Trade Summary'!$A:$A,$A23,'Daily Trade Summary'!$B:$B)</f>
        <v>5000</v>
      </c>
      <c r="C23" s="20" t="n">
        <f aca="false">SUMIF('Daily Trade Summary'!$A:$A,$A23,'Daily Trade Summary'!$E:$E)</f>
        <v>5000</v>
      </c>
      <c r="D23" s="21" t="n">
        <f aca="false">SUMIF('Daily Trade Summary'!$A:$A,$A23,'Daily Trade Summary'!$C:$C)</f>
        <v>399950</v>
      </c>
      <c r="E23" s="21" t="n">
        <f aca="false">SUMIF('Daily Trade Summary'!$A:$A,$A23,'Daily Trade Summary'!$F:$F)</f>
        <v>399950</v>
      </c>
      <c r="F23" s="21" t="n">
        <f aca="false">$E23-$D23</f>
        <v>0</v>
      </c>
      <c r="G23" s="21" t="n">
        <f aca="false">SUMIF('Daily Trade Summary'!$A:$A,$A23,'Daily Trade Summary'!$L:$L)</f>
        <v>129.98375</v>
      </c>
      <c r="H23" s="21" t="n">
        <f aca="false">$G23*SST_Rate</f>
        <v>16.8978875</v>
      </c>
      <c r="I23" s="21" t="n">
        <f aca="false">$F23-$G23-$H23</f>
        <v>-146.8816375</v>
      </c>
      <c r="J23" s="22" t="n">
        <f aca="false">IF($D23=0,"N/A",$I23/$D23)</f>
        <v>-0.00036725</v>
      </c>
    </row>
    <row r="24" customFormat="false" ht="15" hidden="false" customHeight="false" outlineLevel="0" collapsed="false">
      <c r="A24" s="0" t="s">
        <v>92</v>
      </c>
      <c r="B24" s="20" t="n">
        <f aca="false">SUMIF('Daily Trade Summary'!$A:$A,$A24,'Daily Trade Summary'!$B:$B)</f>
        <v>10000</v>
      </c>
      <c r="C24" s="20" t="n">
        <f aca="false">SUMIF('Daily Trade Summary'!$A:$A,$A24,'Daily Trade Summary'!$E:$E)</f>
        <v>10000</v>
      </c>
      <c r="D24" s="21" t="n">
        <f aca="false">SUMIF('Daily Trade Summary'!$A:$A,$A24,'Daily Trade Summary'!$C:$C)</f>
        <v>307300</v>
      </c>
      <c r="E24" s="21" t="n">
        <f aca="false">SUMIF('Daily Trade Summary'!$A:$A,$A24,'Daily Trade Summary'!$F:$F)</f>
        <v>307020</v>
      </c>
      <c r="F24" s="21" t="n">
        <f aca="false">$E24-$D24</f>
        <v>-280</v>
      </c>
      <c r="G24" s="21" t="n">
        <f aca="false">SUMIF('Daily Trade Summary'!$A:$A,$A24,'Daily Trade Summary'!$L:$L)</f>
        <v>1.75</v>
      </c>
      <c r="H24" s="21" t="n">
        <f aca="false">$G24*SST_Rate</f>
        <v>0.2275</v>
      </c>
      <c r="I24" s="21" t="n">
        <f aca="false">$F24-$G24-$H24</f>
        <v>-281.9775</v>
      </c>
      <c r="J24" s="22" t="n">
        <f aca="false">IF($D24=0,"N/A",$I24/$D24)</f>
        <v>-0.000917596810933941</v>
      </c>
    </row>
    <row r="25" customFormat="false" ht="15" hidden="false" customHeight="false" outlineLevel="0" collapsed="false">
      <c r="A25" s="0" t="s">
        <v>93</v>
      </c>
      <c r="B25" s="20" t="n">
        <f aca="false">SUMIF('Daily Trade Summary'!$A:$A,$A25,'Daily Trade Summary'!$B:$B)</f>
        <v>5000</v>
      </c>
      <c r="C25" s="20" t="n">
        <f aca="false">SUMIF('Daily Trade Summary'!$A:$A,$A25,'Daily Trade Summary'!$E:$E)</f>
        <v>5000</v>
      </c>
      <c r="D25" s="21" t="n">
        <f aca="false">SUMIF('Daily Trade Summary'!$A:$A,$A25,'Daily Trade Summary'!$C:$C)</f>
        <v>273884.85</v>
      </c>
      <c r="E25" s="21" t="n">
        <f aca="false">SUMIF('Daily Trade Summary'!$A:$A,$A25,'Daily Trade Summary'!$F:$F)</f>
        <v>273527.68</v>
      </c>
      <c r="F25" s="21" t="n">
        <f aca="false">$E25-$D25</f>
        <v>-357.169999999984</v>
      </c>
      <c r="G25" s="21" t="n">
        <f aca="false">SUMIF('Daily Trade Summary'!$A:$A,$A25,'Daily Trade Summary'!$L:$L)</f>
        <v>88.896496</v>
      </c>
      <c r="H25" s="21" t="n">
        <f aca="false">$G25*SST_Rate</f>
        <v>11.55654448</v>
      </c>
      <c r="I25" s="21" t="n">
        <f aca="false">$F25-$G25-$H25</f>
        <v>-457.623040479984</v>
      </c>
      <c r="J25" s="22" t="n">
        <f aca="false">IF($D25=0,"N/A",$I25/$D25)</f>
        <v>-0.00167085926979891</v>
      </c>
    </row>
    <row r="26" customFormat="false" ht="15" hidden="false" customHeight="false" outlineLevel="0" collapsed="false">
      <c r="A26" s="0" t="s">
        <v>94</v>
      </c>
      <c r="B26" s="20" t="n">
        <f aca="false">SUMIF('Daily Trade Summary'!$A:$A,$A26,'Daily Trade Summary'!$B:$B)</f>
        <v>2500</v>
      </c>
      <c r="C26" s="20" t="n">
        <f aca="false">SUMIF('Daily Trade Summary'!$A:$A,$A26,'Daily Trade Summary'!$E:$E)</f>
        <v>2500</v>
      </c>
      <c r="D26" s="21" t="n">
        <f aca="false">SUMIF('Daily Trade Summary'!$A:$A,$A26,'Daily Trade Summary'!$C:$C)</f>
        <v>456291.95</v>
      </c>
      <c r="E26" s="21" t="n">
        <f aca="false">SUMIF('Daily Trade Summary'!$A:$A,$A26,'Daily Trade Summary'!$F:$F)</f>
        <v>456000</v>
      </c>
      <c r="F26" s="21" t="n">
        <f aca="false">$E26-$D26</f>
        <v>-291.950000000012</v>
      </c>
      <c r="G26" s="21" t="n">
        <f aca="false">SUMIF('Daily Trade Summary'!$A:$A,$A26,'Daily Trade Summary'!$L:$L)</f>
        <v>148.2</v>
      </c>
      <c r="H26" s="21" t="n">
        <f aca="false">$G26*SST_Rate</f>
        <v>19.266</v>
      </c>
      <c r="I26" s="21" t="n">
        <f aca="false">$F26-$G26-$H26</f>
        <v>-459.416000000012</v>
      </c>
      <c r="J26" s="22" t="n">
        <f aca="false">IF($D26=0,"N/A",$I26/$D26)</f>
        <v>-0.00100684660336438</v>
      </c>
    </row>
    <row r="27" customFormat="false" ht="15" hidden="false" customHeight="false" outlineLevel="0" collapsed="false">
      <c r="A27" s="0" t="s">
        <v>95</v>
      </c>
      <c r="B27" s="20" t="n">
        <f aca="false">SUMIF('Daily Trade Summary'!$A:$A,$A27,'Daily Trade Summary'!$B:$B)</f>
        <v>10000</v>
      </c>
      <c r="C27" s="20" t="n">
        <f aca="false">SUMIF('Daily Trade Summary'!$A:$A,$A27,'Daily Trade Summary'!$E:$E)</f>
        <v>10000</v>
      </c>
      <c r="D27" s="21" t="n">
        <f aca="false">SUMIF('Daily Trade Summary'!$A:$A,$A27,'Daily Trade Summary'!$C:$C)</f>
        <v>523500</v>
      </c>
      <c r="E27" s="21" t="n">
        <f aca="false">SUMIF('Daily Trade Summary'!$A:$A,$A27,'Daily Trade Summary'!$F:$F)</f>
        <v>522800</v>
      </c>
      <c r="F27" s="21" t="n">
        <f aca="false">$E27-$D27</f>
        <v>-700</v>
      </c>
      <c r="G27" s="21" t="n">
        <f aca="false">SUMIF('Daily Trade Summary'!$A:$A,$A27,'Daily Trade Summary'!$L:$L)</f>
        <v>1.75</v>
      </c>
      <c r="H27" s="21" t="n">
        <f aca="false">$G27*SST_Rate</f>
        <v>0.2275</v>
      </c>
      <c r="I27" s="21" t="n">
        <f aca="false">$F27-$G27-$H27</f>
        <v>-701.9775</v>
      </c>
      <c r="J27" s="22" t="n">
        <f aca="false">IF($D27=0,"N/A",$I27/$D27)</f>
        <v>-0.00134093123209169</v>
      </c>
    </row>
    <row r="28" customFormat="false" ht="15" hidden="false" customHeight="false" outlineLevel="0" collapsed="false">
      <c r="A28" s="0" t="s">
        <v>96</v>
      </c>
      <c r="B28" s="20" t="n">
        <f aca="false">SUMIF('Daily Trade Summary'!$A:$A,$A28,'Daily Trade Summary'!$B:$B)</f>
        <v>5000</v>
      </c>
      <c r="C28" s="20" t="n">
        <f aca="false">SUMIF('Daily Trade Summary'!$A:$A,$A28,'Daily Trade Summary'!$E:$E)</f>
        <v>5000</v>
      </c>
      <c r="D28" s="21" t="n">
        <f aca="false">SUMIF('Daily Trade Summary'!$A:$A,$A28,'Daily Trade Summary'!$C:$C)</f>
        <v>900000</v>
      </c>
      <c r="E28" s="21" t="n">
        <f aca="false">SUMIF('Daily Trade Summary'!$A:$A,$A28,'Daily Trade Summary'!$F:$F)</f>
        <v>899550</v>
      </c>
      <c r="F28" s="21" t="n">
        <f aca="false">$E28-$D28</f>
        <v>-450</v>
      </c>
      <c r="G28" s="21" t="n">
        <f aca="false">SUMIF('Daily Trade Summary'!$A:$A,$A28,'Daily Trade Summary'!$L:$L)</f>
        <v>292.35375</v>
      </c>
      <c r="H28" s="21" t="n">
        <f aca="false">$G28*SST_Rate</f>
        <v>38.0059875</v>
      </c>
      <c r="I28" s="21" t="n">
        <f aca="false">$F28-$G28-$H28</f>
        <v>-780.3597375</v>
      </c>
      <c r="J28" s="22" t="n">
        <f aca="false">IF($D28=0,"N/A",$I28/$D28)</f>
        <v>-0.000867066375</v>
      </c>
    </row>
    <row r="29" customFormat="false" ht="15" hidden="false" customHeight="false" outlineLevel="0" collapsed="false">
      <c r="A29" s="0" t="s">
        <v>97</v>
      </c>
      <c r="B29" s="20" t="n">
        <f aca="false">SUMIF('Daily Trade Summary'!$A:$A,$A29,'Daily Trade Summary'!$B:$B)</f>
        <v>6000</v>
      </c>
      <c r="C29" s="20" t="n">
        <f aca="false">SUMIF('Daily Trade Summary'!$A:$A,$A29,'Daily Trade Summary'!$E:$E)</f>
        <v>6000</v>
      </c>
      <c r="D29" s="21" t="n">
        <f aca="false">SUMIF('Daily Trade Summary'!$A:$A,$A29,'Daily Trade Summary'!$C:$C)</f>
        <v>571845</v>
      </c>
      <c r="E29" s="21" t="n">
        <f aca="false">SUMIF('Daily Trade Summary'!$A:$A,$A29,'Daily Trade Summary'!$F:$F)</f>
        <v>570990</v>
      </c>
      <c r="F29" s="21" t="n">
        <f aca="false">$E29-$D29</f>
        <v>-855</v>
      </c>
      <c r="G29" s="21" t="n">
        <f aca="false">SUMIF('Daily Trade Summary'!$A:$A,$A29,'Daily Trade Summary'!$L:$L)</f>
        <v>185.57175</v>
      </c>
      <c r="H29" s="21" t="n">
        <f aca="false">$G29*SST_Rate</f>
        <v>24.1243275</v>
      </c>
      <c r="I29" s="21" t="n">
        <f aca="false">$F29-$G29-$H29</f>
        <v>-1064.6960775</v>
      </c>
      <c r="J29" s="22" t="n">
        <f aca="false">IF($D29=0,"N/A",$I29/$D29)</f>
        <v>-0.00186186130419956</v>
      </c>
    </row>
    <row r="30" customFormat="false" ht="15" hidden="false" customHeight="false" outlineLevel="0" collapsed="false">
      <c r="A30" s="0" t="s">
        <v>98</v>
      </c>
      <c r="B30" s="20" t="n">
        <f aca="false">SUMIF('Daily Trade Summary'!$A:$A,$A30,'Daily Trade Summary'!$B:$B)</f>
        <v>5000</v>
      </c>
      <c r="C30" s="20" t="n">
        <f aca="false">SUMIF('Daily Trade Summary'!$A:$A,$A30,'Daily Trade Summary'!$E:$E)</f>
        <v>5000</v>
      </c>
      <c r="D30" s="21" t="n">
        <f aca="false">SUMIF('Daily Trade Summary'!$A:$A,$A30,'Daily Trade Summary'!$C:$C)</f>
        <v>1791275</v>
      </c>
      <c r="E30" s="21" t="n">
        <f aca="false">SUMIF('Daily Trade Summary'!$A:$A,$A30,'Daily Trade Summary'!$F:$F)</f>
        <v>1790500</v>
      </c>
      <c r="F30" s="21" t="n">
        <f aca="false">$E30-$D30</f>
        <v>-775</v>
      </c>
      <c r="G30" s="21" t="n">
        <f aca="false">SUMIF('Daily Trade Summary'!$A:$A,$A30,'Daily Trade Summary'!$L:$L)</f>
        <v>581.9125</v>
      </c>
      <c r="H30" s="21" t="n">
        <f aca="false">$G30*SST_Rate</f>
        <v>75.648625</v>
      </c>
      <c r="I30" s="21" t="n">
        <f aca="false">$F30-$G30-$H30</f>
        <v>-1432.561125</v>
      </c>
      <c r="J30" s="22" t="n">
        <f aca="false">IF($D30=0,"N/A",$I30/$D30)</f>
        <v>-0.000799743827720478</v>
      </c>
    </row>
    <row r="31" customFormat="false" ht="15" hidden="false" customHeight="false" outlineLevel="0" collapsed="false">
      <c r="A31" s="0" t="s">
        <v>99</v>
      </c>
      <c r="B31" s="20" t="n">
        <f aca="false">SUMIF('Daily Trade Summary'!$A:$A,$A31,'Daily Trade Summary'!$B:$B)</f>
        <v>6500</v>
      </c>
      <c r="C31" s="20" t="n">
        <f aca="false">SUMIF('Daily Trade Summary'!$A:$A,$A31,'Daily Trade Summary'!$E:$E)</f>
        <v>6500</v>
      </c>
      <c r="D31" s="21" t="n">
        <f aca="false">SUMIF('Daily Trade Summary'!$A:$A,$A31,'Daily Trade Summary'!$C:$C)</f>
        <v>377685</v>
      </c>
      <c r="E31" s="21" t="n">
        <f aca="false">SUMIF('Daily Trade Summary'!$A:$A,$A31,'Daily Trade Summary'!$F:$F)</f>
        <v>376100</v>
      </c>
      <c r="F31" s="21" t="n">
        <f aca="false">$E31-$D31</f>
        <v>-1585</v>
      </c>
      <c r="G31" s="21" t="n">
        <f aca="false">SUMIF('Daily Trade Summary'!$A:$A,$A31,'Daily Trade Summary'!$L:$L)</f>
        <v>122.2325</v>
      </c>
      <c r="H31" s="21" t="n">
        <f aca="false">$G31*SST_Rate</f>
        <v>15.890225</v>
      </c>
      <c r="I31" s="21" t="n">
        <f aca="false">$F31-$G31-$H31</f>
        <v>-1723.122725</v>
      </c>
      <c r="J31" s="22" t="n">
        <f aca="false">IF($D31=0,"N/A",$I31/$D31)</f>
        <v>-0.00456232766723592</v>
      </c>
    </row>
    <row r="32" customFormat="false" ht="15" hidden="false" customHeight="false" outlineLevel="0" collapsed="false">
      <c r="A32" s="0" t="s">
        <v>100</v>
      </c>
      <c r="B32" s="20" t="n">
        <f aca="false">SUMIF('Daily Trade Summary'!$A:$A,$A32,'Daily Trade Summary'!$B:$B)</f>
        <v>1390</v>
      </c>
      <c r="C32" s="20" t="n">
        <f aca="false">SUMIF('Daily Trade Summary'!$A:$A,$A32,'Daily Trade Summary'!$E:$E)</f>
        <v>1390</v>
      </c>
      <c r="D32" s="21" t="n">
        <f aca="false">SUMIF('Daily Trade Summary'!$A:$A,$A32,'Daily Trade Summary'!$C:$C)</f>
        <v>1511964</v>
      </c>
      <c r="E32" s="21" t="n">
        <f aca="false">SUMIF('Daily Trade Summary'!$A:$A,$A32,'Daily Trade Summary'!$F:$F)</f>
        <v>1510588.06</v>
      </c>
      <c r="F32" s="21" t="n">
        <f aca="false">$E32-$D32</f>
        <v>-1375.93999999994</v>
      </c>
      <c r="G32" s="21" t="n">
        <f aca="false">SUMIF('Daily Trade Summary'!$A:$A,$A32,'Daily Trade Summary'!$L:$L)</f>
        <v>490.9411195</v>
      </c>
      <c r="H32" s="21" t="n">
        <f aca="false">$G32*SST_Rate</f>
        <v>63.822345535</v>
      </c>
      <c r="I32" s="21" t="n">
        <f aca="false">$F32-$G32-$H32</f>
        <v>-1930.70346503494</v>
      </c>
      <c r="J32" s="22" t="n">
        <f aca="false">IF($D32=0,"N/A",$I32/$D32)</f>
        <v>-0.0012769506846955</v>
      </c>
    </row>
    <row r="33" customFormat="false" ht="15" hidden="false" customHeight="false" outlineLevel="0" collapsed="false">
      <c r="A33" s="0" t="s">
        <v>101</v>
      </c>
      <c r="B33" s="20" t="n">
        <f aca="false">SUMIF('Daily Trade Summary'!$A:$A,$A33,'Daily Trade Summary'!$B:$B)</f>
        <v>5000</v>
      </c>
      <c r="C33" s="20" t="n">
        <f aca="false">SUMIF('Daily Trade Summary'!$A:$A,$A33,'Daily Trade Summary'!$E:$E)</f>
        <v>5000</v>
      </c>
      <c r="D33" s="21" t="n">
        <f aca="false">SUMIF('Daily Trade Summary'!$A:$A,$A33,'Daily Trade Summary'!$C:$C)</f>
        <v>385000</v>
      </c>
      <c r="E33" s="21" t="n">
        <f aca="false">SUMIF('Daily Trade Summary'!$A:$A,$A33,'Daily Trade Summary'!$F:$F)</f>
        <v>383051</v>
      </c>
      <c r="F33" s="21" t="n">
        <f aca="false">$E33-$D33</f>
        <v>-1949</v>
      </c>
      <c r="G33" s="21" t="n">
        <f aca="false">SUMIF('Daily Trade Summary'!$A:$A,$A33,'Daily Trade Summary'!$L:$L)</f>
        <v>124.491575</v>
      </c>
      <c r="H33" s="21" t="n">
        <f aca="false">$G33*SST_Rate</f>
        <v>16.18390475</v>
      </c>
      <c r="I33" s="21" t="n">
        <f aca="false">$F33-$G33-$H33</f>
        <v>-2089.67547975</v>
      </c>
      <c r="J33" s="22" t="n">
        <f aca="false">IF($D33=0,"N/A",$I33/$D33)</f>
        <v>-0.00542772851883117</v>
      </c>
    </row>
    <row r="34" customFormat="false" ht="15" hidden="false" customHeight="false" outlineLevel="0" collapsed="false">
      <c r="A34" s="0" t="s">
        <v>102</v>
      </c>
      <c r="B34" s="20" t="n">
        <f aca="false">SUMIF('Daily Trade Summary'!$A:$A,$A34,'Daily Trade Summary'!$B:$B)</f>
        <v>11000</v>
      </c>
      <c r="C34" s="20" t="n">
        <f aca="false">SUMIF('Daily Trade Summary'!$A:$A,$A34,'Daily Trade Summary'!$E:$E)</f>
        <v>11000</v>
      </c>
      <c r="D34" s="21" t="n">
        <f aca="false">SUMIF('Daily Trade Summary'!$A:$A,$A34,'Daily Trade Summary'!$C:$C)</f>
        <v>2040890</v>
      </c>
      <c r="E34" s="21" t="n">
        <f aca="false">SUMIF('Daily Trade Summary'!$A:$A,$A34,'Daily Trade Summary'!$F:$F)</f>
        <v>2038125</v>
      </c>
      <c r="F34" s="21" t="n">
        <f aca="false">$E34-$D34</f>
        <v>-2765</v>
      </c>
      <c r="G34" s="21" t="n">
        <f aca="false">SUMIF('Daily Trade Summary'!$A:$A,$A34,'Daily Trade Summary'!$L:$L)</f>
        <v>662.390625</v>
      </c>
      <c r="H34" s="21" t="n">
        <f aca="false">$G34*SST_Rate</f>
        <v>86.11078125</v>
      </c>
      <c r="I34" s="21" t="n">
        <f aca="false">$F34-$G34-$H34</f>
        <v>-3513.50140625</v>
      </c>
      <c r="J34" s="22" t="n">
        <f aca="false">IF($D34=0,"N/A",$I34/$D34)</f>
        <v>-0.00172155354097967</v>
      </c>
    </row>
    <row r="35" customFormat="false" ht="15" hidden="false" customHeight="false" outlineLevel="0" collapsed="false">
      <c r="A35" s="41" t="s">
        <v>103</v>
      </c>
      <c r="B35" s="42" t="n">
        <f aca="false">SUMIF('Daily Trade Summary'!$A:$A,$A35,'Daily Trade Summary'!$B:$B)</f>
        <v>91000</v>
      </c>
      <c r="C35" s="42" t="n">
        <f aca="false">SUMIF('Daily Trade Summary'!$A:$A,$A35,'Daily Trade Summary'!$E:$E)</f>
        <v>91000</v>
      </c>
      <c r="D35" s="43" t="n">
        <f aca="false">SUMIF('Daily Trade Summary'!$A:$A,$A35,'Daily Trade Summary'!$C:$C)</f>
        <v>8817225</v>
      </c>
      <c r="E35" s="43" t="n">
        <f aca="false">SUMIF('Daily Trade Summary'!$A:$A,$A35,'Daily Trade Summary'!$F:$F)</f>
        <v>8816690</v>
      </c>
      <c r="F35" s="43" t="n">
        <f aca="false">$E35-$D35</f>
        <v>-535</v>
      </c>
      <c r="G35" s="43" t="n">
        <f aca="false">SUMIF('Daily Trade Summary'!$A:$A,$A35,'Daily Trade Summary'!$L:$L)</f>
        <v>2865.42425</v>
      </c>
      <c r="H35" s="43" t="n">
        <f aca="false">$G35*SST_Rate</f>
        <v>372.5051525</v>
      </c>
      <c r="I35" s="43" t="n">
        <f aca="false">$F35-$G35-$H35</f>
        <v>-3772.9294025</v>
      </c>
      <c r="J35" s="44" t="n">
        <f aca="false">IF($D35=0,"N/A",$I35/$D35)</f>
        <v>-0.000427904403312834</v>
      </c>
      <c r="K35" s="45" t="s">
        <v>104</v>
      </c>
    </row>
    <row r="36" customFormat="false" ht="15" hidden="false" customHeight="false" outlineLevel="0" collapsed="false">
      <c r="A36" s="34" t="s">
        <v>42</v>
      </c>
      <c r="B36" s="24" t="n">
        <f aca="false">SUM(B5:B35)</f>
        <v>520118</v>
      </c>
      <c r="C36" s="24" t="n">
        <f aca="false">SUM(C5:C35)</f>
        <v>520118</v>
      </c>
      <c r="D36" s="25" t="n">
        <f aca="false">SUM(D5:D35)</f>
        <v>74766195.21</v>
      </c>
      <c r="E36" s="25" t="n">
        <f aca="false">SUM(E5:E35)</f>
        <v>74829034.33</v>
      </c>
      <c r="F36" s="25" t="n">
        <f aca="false">SUM(F5:F35)</f>
        <v>62839.1200000006</v>
      </c>
      <c r="G36" s="25" t="n">
        <f aca="false">SUM(G5:G35)</f>
        <v>24053.24465725</v>
      </c>
      <c r="H36" s="25" t="n">
        <f aca="false">SUM(H5:H35)</f>
        <v>3126.9218054425</v>
      </c>
      <c r="I36" s="25" t="n">
        <f aca="false">SUM(I5:I35)</f>
        <v>35658.9535373081</v>
      </c>
      <c r="J36" s="26" t="n">
        <f aca="false">IF($D36=0,"N/A",$I36/$D36)</f>
        <v>0.000476939523766734</v>
      </c>
    </row>
  </sheetData>
  <autoFilter ref="A4:J35"/>
  <conditionalFormatting sqref="F5:J36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3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21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5" min="14" style="0" width="14"/>
    <col collapsed="false" customWidth="true" hidden="false" outlineLevel="0" max="16" min="16" style="0" width="11"/>
  </cols>
  <sheetData>
    <row r="1" customFormat="false" ht="30" hidden="false" customHeight="true" outlineLevel="0" collapsed="false">
      <c r="A1" s="46" t="s">
        <v>105</v>
      </c>
      <c r="B1" s="18" t="s">
        <v>33</v>
      </c>
      <c r="C1" s="18" t="s">
        <v>36</v>
      </c>
      <c r="D1" s="18" t="s">
        <v>60</v>
      </c>
      <c r="E1" s="18" t="s">
        <v>34</v>
      </c>
      <c r="F1" s="18" t="s">
        <v>37</v>
      </c>
      <c r="G1" s="18" t="s">
        <v>61</v>
      </c>
      <c r="H1" s="18" t="s">
        <v>62</v>
      </c>
      <c r="I1" s="18" t="s">
        <v>35</v>
      </c>
      <c r="J1" s="18" t="s">
        <v>38</v>
      </c>
      <c r="K1" s="18" t="s">
        <v>63</v>
      </c>
      <c r="L1" s="18" t="s">
        <v>39</v>
      </c>
      <c r="M1" s="18" t="s">
        <v>64</v>
      </c>
      <c r="N1" s="18" t="s">
        <v>41</v>
      </c>
      <c r="O1" s="18" t="s">
        <v>7</v>
      </c>
      <c r="P1" s="18" t="s">
        <v>8</v>
      </c>
    </row>
    <row r="2" customFormat="false" ht="15" hidden="false" customHeight="false" outlineLevel="0" collapsed="false">
      <c r="A2" s="2" t="s">
        <v>106</v>
      </c>
      <c r="D2" s="31" t="s">
        <v>107</v>
      </c>
    </row>
    <row r="3" customFormat="false" ht="15" hidden="false" customHeight="false" outlineLevel="0" collapsed="false">
      <c r="A3" s="3" t="s">
        <v>108</v>
      </c>
      <c r="B3" s="27" t="n">
        <v>46258</v>
      </c>
      <c r="D3" s="3" t="s">
        <v>109</v>
      </c>
      <c r="E3" s="47" t="n">
        <f aca="false">C15</f>
        <v>830250</v>
      </c>
    </row>
    <row r="4" customFormat="false" ht="15" hidden="false" customHeight="false" outlineLevel="0" collapsed="false">
      <c r="A4" s="3" t="s">
        <v>110</v>
      </c>
      <c r="B4" s="28" t="s">
        <v>111</v>
      </c>
      <c r="D4" s="3" t="s">
        <v>112</v>
      </c>
      <c r="E4" s="47" t="n">
        <f aca="false">F15</f>
        <v>830975</v>
      </c>
    </row>
    <row r="5" customFormat="false" ht="15" hidden="false" customHeight="false" outlineLevel="0" collapsed="false">
      <c r="A5" s="3" t="s">
        <v>113</v>
      </c>
      <c r="B5" s="28" t="s">
        <v>114</v>
      </c>
      <c r="D5" s="3" t="s">
        <v>11</v>
      </c>
      <c r="E5" s="47" t="n">
        <f aca="false">J15</f>
        <v>725</v>
      </c>
    </row>
    <row r="6" customFormat="false" ht="15" hidden="false" customHeight="false" outlineLevel="0" collapsed="false">
      <c r="A6" s="3" t="s">
        <v>115</v>
      </c>
      <c r="B6" s="28" t="s">
        <v>116</v>
      </c>
      <c r="D6" s="3" t="s">
        <v>13</v>
      </c>
      <c r="E6" s="47" t="n">
        <f aca="false">L15</f>
        <v>270.066875</v>
      </c>
    </row>
    <row r="7" customFormat="false" ht="15" hidden="false" customHeight="false" outlineLevel="0" collapsed="false">
      <c r="A7" s="3" t="s">
        <v>117</v>
      </c>
      <c r="B7" s="28" t="s">
        <v>118</v>
      </c>
      <c r="D7" s="3" t="s">
        <v>15</v>
      </c>
      <c r="E7" s="47" t="n">
        <f aca="false">M15</f>
        <v>35.10869375</v>
      </c>
    </row>
    <row r="8" customFormat="false" ht="15" hidden="false" customHeight="false" outlineLevel="0" collapsed="false">
      <c r="A8" s="3" t="s">
        <v>119</v>
      </c>
      <c r="B8" s="28" t="s">
        <v>120</v>
      </c>
      <c r="D8" s="3" t="s">
        <v>121</v>
      </c>
      <c r="E8" s="47" t="n">
        <f aca="false">N15</f>
        <v>305.17556875</v>
      </c>
    </row>
    <row r="9" customFormat="false" ht="15" hidden="false" customHeight="false" outlineLevel="0" collapsed="false">
      <c r="D9" s="3" t="s">
        <v>16</v>
      </c>
      <c r="E9" s="47" t="n">
        <f aca="false">O15</f>
        <v>419.82443125</v>
      </c>
    </row>
    <row r="10" customFormat="false" ht="15" hidden="false" customHeight="false" outlineLevel="0" collapsed="false">
      <c r="D10" s="3" t="s">
        <v>8</v>
      </c>
      <c r="E10" s="48" t="n">
        <f aca="false">P15</f>
        <v>0.000505660260463716</v>
      </c>
    </row>
    <row r="11" customFormat="false" ht="15" hidden="false" customHeight="false" outlineLevel="0" collapsed="false">
      <c r="D11" s="3" t="s">
        <v>122</v>
      </c>
      <c r="E11" s="49" t="n">
        <f aca="false">I15</f>
        <v>0</v>
      </c>
    </row>
    <row r="12" customFormat="false" ht="15" hidden="false" customHeight="false" outlineLevel="0" collapsed="false">
      <c r="A12" s="31" t="s">
        <v>123</v>
      </c>
    </row>
    <row r="13" customFormat="false" ht="30" hidden="false" customHeight="true" outlineLevel="0" collapsed="false">
      <c r="A13" s="18" t="s">
        <v>71</v>
      </c>
      <c r="B13" s="18" t="s">
        <v>33</v>
      </c>
      <c r="C13" s="18" t="s">
        <v>36</v>
      </c>
      <c r="D13" s="18" t="s">
        <v>60</v>
      </c>
      <c r="E13" s="18" t="s">
        <v>34</v>
      </c>
      <c r="F13" s="18" t="s">
        <v>37</v>
      </c>
      <c r="G13" s="18" t="s">
        <v>61</v>
      </c>
      <c r="H13" s="18" t="s">
        <v>62</v>
      </c>
      <c r="I13" s="18" t="s">
        <v>35</v>
      </c>
      <c r="J13" s="18" t="s">
        <v>38</v>
      </c>
      <c r="K13" s="18" t="s">
        <v>63</v>
      </c>
      <c r="L13" s="18" t="s">
        <v>39</v>
      </c>
      <c r="M13" s="18" t="s">
        <v>64</v>
      </c>
      <c r="N13" s="18" t="s">
        <v>41</v>
      </c>
      <c r="O13" s="18" t="s">
        <v>7</v>
      </c>
      <c r="P13" s="18" t="s">
        <v>8</v>
      </c>
    </row>
    <row r="14" customFormat="false" ht="15" hidden="false" customHeight="false" outlineLevel="0" collapsed="false">
      <c r="A14" s="6" t="s">
        <v>86</v>
      </c>
      <c r="B14" s="33" t="n">
        <v>2500</v>
      </c>
      <c r="C14" s="33" t="n">
        <v>830250</v>
      </c>
      <c r="D14" s="9" t="n">
        <f aca="false">IF($B14=0,"",$C14/$B14)</f>
        <v>332.1</v>
      </c>
      <c r="E14" s="33" t="n">
        <v>2500</v>
      </c>
      <c r="F14" s="6" t="n">
        <v>830975</v>
      </c>
      <c r="G14" s="9" t="n">
        <f aca="false">IF($E14=0,"",$F14/$E14)</f>
        <v>332.39</v>
      </c>
      <c r="H14" s="9" t="n">
        <f aca="false">IF(OR($B14=0,$E14=0),"N/A",$G14-$D14)</f>
        <v>0.289999999999964</v>
      </c>
      <c r="I14" s="33" t="n">
        <f aca="false">$B14-$E14</f>
        <v>0</v>
      </c>
      <c r="J14" s="9" t="n">
        <f aca="false">$F14-$C14</f>
        <v>725</v>
      </c>
      <c r="K14" s="6" t="str">
        <f aca="false">IF($E14=0,"—",IF($G14&gt;=Comm_Slab2_Start,"0.0325% of sell value","0.0175 paisa per share"))</f>
        <v>0.0325% of sell value</v>
      </c>
      <c r="L14" s="9" t="n">
        <f aca="false">IF($E14=0,0,IF($G14&gt;=Comm_Slab2_Start,$F14*Comm_Slab2_Rate,$E14*Comm_Slab1_Paisa/Paisa_Per_PKR))</f>
        <v>270.066875</v>
      </c>
      <c r="M14" s="9" t="n">
        <f aca="false">$L14*SST_Rate</f>
        <v>35.10869375</v>
      </c>
      <c r="N14" s="9" t="n">
        <f aca="false">$L14+$M14</f>
        <v>305.17556875</v>
      </c>
      <c r="O14" s="9" t="n">
        <f aca="false">$J14-$N14</f>
        <v>419.82443125</v>
      </c>
      <c r="P14" s="10" t="n">
        <f aca="false">IF($C14=0,"N/A",$O14/$C14)</f>
        <v>0.000505660260463716</v>
      </c>
    </row>
    <row r="15" customFormat="false" ht="15" hidden="false" customHeight="false" outlineLevel="0" collapsed="false">
      <c r="A15" s="29" t="s">
        <v>42</v>
      </c>
      <c r="B15" s="50" t="n">
        <f aca="false">SUM(B14)</f>
        <v>2500</v>
      </c>
      <c r="C15" s="50" t="n">
        <f aca="false">SUM(C14)</f>
        <v>830250</v>
      </c>
      <c r="D15" s="51" t="n">
        <f aca="false">IF($B15=0,"",$C15/$B15)</f>
        <v>332.1</v>
      </c>
      <c r="E15" s="50" t="n">
        <f aca="false">SUM(E14)</f>
        <v>2500</v>
      </c>
      <c r="F15" s="29" t="n">
        <f aca="false">SUM(F14)</f>
        <v>830975</v>
      </c>
      <c r="G15" s="51" t="n">
        <f aca="false">IF($E15=0,"",$F15/$E15)</f>
        <v>332.39</v>
      </c>
      <c r="H15" s="51" t="n">
        <f aca="false">IF(OR($B15=0,$E15=0),"N/A",$G15-$D15)</f>
        <v>0.289999999999964</v>
      </c>
      <c r="I15" s="50" t="n">
        <f aca="false">$B15-$E15</f>
        <v>0</v>
      </c>
      <c r="J15" s="51" t="n">
        <f aca="false">SUM(J14)</f>
        <v>725</v>
      </c>
      <c r="K15" s="29"/>
      <c r="L15" s="51" t="n">
        <f aca="false">SUM(L14)</f>
        <v>270.066875</v>
      </c>
      <c r="M15" s="51" t="n">
        <f aca="false">SUM(M14)</f>
        <v>35.10869375</v>
      </c>
      <c r="N15" s="51" t="n">
        <f aca="false">$L15+$M15</f>
        <v>305.17556875</v>
      </c>
      <c r="O15" s="51" t="n">
        <f aca="false">SUM(O14)</f>
        <v>419.82443125</v>
      </c>
      <c r="P15" s="52" t="n">
        <f aca="false">IF($C15=0,"N/A",$O15/$C15)</f>
        <v>0.000505660260463716</v>
      </c>
    </row>
    <row r="18" customFormat="false" ht="19.7" hidden="false" customHeight="false" outlineLevel="0" collapsed="false">
      <c r="A18" s="1" t="s">
        <v>124</v>
      </c>
    </row>
    <row r="19" customFormat="false" ht="15" hidden="false" customHeight="false" outlineLevel="0" collapsed="false">
      <c r="A19" s="2" t="s">
        <v>106</v>
      </c>
      <c r="D19" s="31" t="s">
        <v>107</v>
      </c>
    </row>
    <row r="20" customFormat="false" ht="15" hidden="false" customHeight="false" outlineLevel="0" collapsed="false">
      <c r="A20" s="3" t="s">
        <v>108</v>
      </c>
      <c r="B20" s="27" t="n">
        <v>46261</v>
      </c>
      <c r="D20" s="3" t="s">
        <v>109</v>
      </c>
      <c r="E20" s="47" t="n">
        <f aca="false">C33</f>
        <v>4333064</v>
      </c>
    </row>
    <row r="21" customFormat="false" ht="15" hidden="false" customHeight="false" outlineLevel="0" collapsed="false">
      <c r="A21" s="3" t="s">
        <v>110</v>
      </c>
      <c r="B21" s="28" t="s">
        <v>111</v>
      </c>
      <c r="D21" s="3" t="s">
        <v>112</v>
      </c>
      <c r="E21" s="47" t="n">
        <f aca="false">F33</f>
        <v>4339589.4</v>
      </c>
    </row>
    <row r="22" customFormat="false" ht="15" hidden="false" customHeight="false" outlineLevel="0" collapsed="false">
      <c r="A22" s="3" t="s">
        <v>113</v>
      </c>
      <c r="B22" s="28" t="s">
        <v>125</v>
      </c>
      <c r="D22" s="3" t="s">
        <v>11</v>
      </c>
      <c r="E22" s="47" t="n">
        <f aca="false">J33</f>
        <v>6525.40000000002</v>
      </c>
    </row>
    <row r="23" customFormat="false" ht="15" hidden="false" customHeight="false" outlineLevel="0" collapsed="false">
      <c r="A23" s="3" t="s">
        <v>115</v>
      </c>
      <c r="B23" s="28" t="s">
        <v>116</v>
      </c>
      <c r="D23" s="3" t="s">
        <v>13</v>
      </c>
      <c r="E23" s="47" t="n">
        <f aca="false">L33</f>
        <v>1410.366555</v>
      </c>
    </row>
    <row r="24" customFormat="false" ht="15" hidden="false" customHeight="false" outlineLevel="0" collapsed="false">
      <c r="A24" s="3" t="s">
        <v>117</v>
      </c>
      <c r="B24" s="28" t="s">
        <v>118</v>
      </c>
      <c r="D24" s="3" t="s">
        <v>15</v>
      </c>
      <c r="E24" s="47" t="n">
        <f aca="false">M33</f>
        <v>183.34765215</v>
      </c>
    </row>
    <row r="25" customFormat="false" ht="15" hidden="false" customHeight="false" outlineLevel="0" collapsed="false">
      <c r="A25" s="3" t="s">
        <v>119</v>
      </c>
      <c r="B25" s="28" t="s">
        <v>126</v>
      </c>
      <c r="D25" s="3" t="s">
        <v>121</v>
      </c>
      <c r="E25" s="47" t="n">
        <f aca="false">N33</f>
        <v>1593.71420715</v>
      </c>
    </row>
    <row r="26" customFormat="false" ht="15" hidden="false" customHeight="false" outlineLevel="0" collapsed="false">
      <c r="D26" s="3" t="s">
        <v>16</v>
      </c>
      <c r="E26" s="47" t="n">
        <f aca="false">O33</f>
        <v>4931.68579285002</v>
      </c>
    </row>
    <row r="27" customFormat="false" ht="15" hidden="false" customHeight="false" outlineLevel="0" collapsed="false">
      <c r="D27" s="3" t="s">
        <v>8</v>
      </c>
      <c r="E27" s="48" t="n">
        <f aca="false">P33</f>
        <v>0.00113815207734066</v>
      </c>
    </row>
    <row r="28" customFormat="false" ht="15" hidden="false" customHeight="false" outlineLevel="0" collapsed="false">
      <c r="D28" s="3" t="s">
        <v>122</v>
      </c>
      <c r="E28" s="49" t="n">
        <f aca="false">I33</f>
        <v>0</v>
      </c>
    </row>
    <row r="29" customFormat="false" ht="15" hidden="false" customHeight="false" outlineLevel="0" collapsed="false">
      <c r="A29" s="31" t="s">
        <v>123</v>
      </c>
    </row>
    <row r="30" customFormat="false" ht="30" hidden="false" customHeight="true" outlineLevel="0" collapsed="false">
      <c r="A30" s="18" t="s">
        <v>71</v>
      </c>
      <c r="B30" s="18" t="s">
        <v>33</v>
      </c>
      <c r="C30" s="18" t="s">
        <v>36</v>
      </c>
      <c r="D30" s="18" t="s">
        <v>60</v>
      </c>
      <c r="E30" s="18" t="s">
        <v>34</v>
      </c>
      <c r="F30" s="18" t="s">
        <v>37</v>
      </c>
      <c r="G30" s="18" t="s">
        <v>61</v>
      </c>
      <c r="H30" s="18" t="s">
        <v>62</v>
      </c>
      <c r="I30" s="18" t="s">
        <v>35</v>
      </c>
      <c r="J30" s="18" t="s">
        <v>38</v>
      </c>
      <c r="K30" s="18" t="s">
        <v>63</v>
      </c>
      <c r="L30" s="18" t="s">
        <v>39</v>
      </c>
      <c r="M30" s="18" t="s">
        <v>64</v>
      </c>
      <c r="N30" s="18" t="s">
        <v>41</v>
      </c>
      <c r="O30" s="18" t="s">
        <v>7</v>
      </c>
      <c r="P30" s="18" t="s">
        <v>8</v>
      </c>
    </row>
    <row r="31" customFormat="false" ht="15" hidden="false" customHeight="false" outlineLevel="0" collapsed="false">
      <c r="A31" s="6" t="s">
        <v>100</v>
      </c>
      <c r="B31" s="33" t="n">
        <v>390</v>
      </c>
      <c r="C31" s="33" t="n">
        <v>431964</v>
      </c>
      <c r="D31" s="9" t="n">
        <f aca="false">IF($B31=0,"",$C31/$B31)</f>
        <v>1107.6</v>
      </c>
      <c r="E31" s="33" t="n">
        <v>390</v>
      </c>
      <c r="F31" s="6" t="n">
        <v>431579.4</v>
      </c>
      <c r="G31" s="9" t="n">
        <f aca="false">IF($E31=0,"",$F31/$E31)</f>
        <v>1106.61384615385</v>
      </c>
      <c r="H31" s="9" t="n">
        <f aca="false">IF(OR($B31=0,$E31=0),"N/A",$G31-$D31)</f>
        <v>-0.986153846153684</v>
      </c>
      <c r="I31" s="33" t="n">
        <f aca="false">$B31-$E31</f>
        <v>0</v>
      </c>
      <c r="J31" s="9" t="n">
        <f aca="false">$F31-$C31</f>
        <v>-384.599999999977</v>
      </c>
      <c r="K31" s="6" t="str">
        <f aca="false">IF($E31=0,"—",IF($G31&gt;=Comm_Slab2_Start,"0.0325% of sell value","0.0175 paisa per share"))</f>
        <v>0.0325% of sell value</v>
      </c>
      <c r="L31" s="9" t="n">
        <f aca="false">IF($E31=0,0,IF($G31&gt;=Comm_Slab2_Start,$F31*Comm_Slab2_Rate,$E31*Comm_Slab1_Paisa/Paisa_Per_PKR))</f>
        <v>140.263305</v>
      </c>
      <c r="M31" s="9" t="n">
        <f aca="false">$L31*SST_Rate</f>
        <v>18.23422965</v>
      </c>
      <c r="N31" s="9" t="n">
        <f aca="false">$L31+$M31</f>
        <v>158.49753465</v>
      </c>
      <c r="O31" s="9" t="n">
        <f aca="false">$J31-$N31</f>
        <v>-543.097534649977</v>
      </c>
      <c r="P31" s="10" t="n">
        <f aca="false">IF($C31=0,"N/A",$O31/$C31)</f>
        <v>-0.00125727499201317</v>
      </c>
    </row>
    <row r="32" customFormat="false" ht="15" hidden="false" customHeight="false" outlineLevel="0" collapsed="false">
      <c r="A32" s="6" t="s">
        <v>72</v>
      </c>
      <c r="B32" s="33" t="n">
        <v>42500</v>
      </c>
      <c r="C32" s="33" t="n">
        <v>3901100</v>
      </c>
      <c r="D32" s="9" t="n">
        <f aca="false">IF($B32=0,"",$C32/$B32)</f>
        <v>91.7905882352941</v>
      </c>
      <c r="E32" s="33" t="n">
        <v>42500</v>
      </c>
      <c r="F32" s="6" t="n">
        <v>3908010</v>
      </c>
      <c r="G32" s="9" t="n">
        <f aca="false">IF($E32=0,"",$F32/$E32)</f>
        <v>91.9531764705882</v>
      </c>
      <c r="H32" s="9" t="n">
        <f aca="false">IF(OR($B32=0,$E32=0),"N/A",$G32-$D32)</f>
        <v>0.162588235294109</v>
      </c>
      <c r="I32" s="33" t="n">
        <f aca="false">$B32-$E32</f>
        <v>0</v>
      </c>
      <c r="J32" s="9" t="n">
        <f aca="false">$F32-$C32</f>
        <v>6910</v>
      </c>
      <c r="K32" s="6" t="str">
        <f aca="false">IF($E32=0,"—",IF($G32&gt;=Comm_Slab2_Start,"0.0325% of sell value","0.0175 paisa per share"))</f>
        <v>0.0325% of sell value</v>
      </c>
      <c r="L32" s="9" t="n">
        <f aca="false">IF($E32=0,0,IF($G32&gt;=Comm_Slab2_Start,$F32*Comm_Slab2_Rate,$E32*Comm_Slab1_Paisa/Paisa_Per_PKR))</f>
        <v>1270.10325</v>
      </c>
      <c r="M32" s="9" t="n">
        <f aca="false">$L32*SST_Rate</f>
        <v>165.1134225</v>
      </c>
      <c r="N32" s="9" t="n">
        <f aca="false">$L32+$M32</f>
        <v>1435.2166725</v>
      </c>
      <c r="O32" s="9" t="n">
        <f aca="false">$J32-$N32</f>
        <v>5474.7833275</v>
      </c>
      <c r="P32" s="10" t="n">
        <f aca="false">IF($C32=0,"N/A",$O32/$C32)</f>
        <v>0.00140339476750147</v>
      </c>
    </row>
    <row r="33" customFormat="false" ht="15" hidden="false" customHeight="false" outlineLevel="0" collapsed="false">
      <c r="A33" s="29" t="s">
        <v>42</v>
      </c>
      <c r="B33" s="50" t="n">
        <f aca="false">SUM(B31:B32)</f>
        <v>42890</v>
      </c>
      <c r="C33" s="50" t="n">
        <f aca="false">SUM(C31:C32)</f>
        <v>4333064</v>
      </c>
      <c r="D33" s="51" t="n">
        <f aca="false">IF($B33=0,"",$C33/$B33)</f>
        <v>101.027372347867</v>
      </c>
      <c r="E33" s="50" t="n">
        <f aca="false">SUM(E31:E32)</f>
        <v>42890</v>
      </c>
      <c r="F33" s="29" t="n">
        <f aca="false">SUM(F31:F32)</f>
        <v>4339589.4</v>
      </c>
      <c r="G33" s="51" t="n">
        <f aca="false">IF($E33=0,"",$F33/$E33)</f>
        <v>101.179515038471</v>
      </c>
      <c r="H33" s="51" t="n">
        <f aca="false">IF(OR($B33=0,$E33=0),"N/A",$G33-$D33)</f>
        <v>0.152142690603881</v>
      </c>
      <c r="I33" s="50" t="n">
        <f aca="false">$B33-$E33</f>
        <v>0</v>
      </c>
      <c r="J33" s="51" t="n">
        <f aca="false">SUM(J31:J32)</f>
        <v>6525.40000000002</v>
      </c>
      <c r="K33" s="29"/>
      <c r="L33" s="51" t="n">
        <f aca="false">SUM(L31:L32)</f>
        <v>1410.366555</v>
      </c>
      <c r="M33" s="51" t="n">
        <f aca="false">SUM(M31:M32)</f>
        <v>183.34765215</v>
      </c>
      <c r="N33" s="51" t="n">
        <f aca="false">$L33+$M33</f>
        <v>1593.71420715</v>
      </c>
      <c r="O33" s="51" t="n">
        <f aca="false">SUM(O31:O32)</f>
        <v>4931.68579285002</v>
      </c>
      <c r="P33" s="52" t="n">
        <f aca="false">IF($C33=0,"N/A",$O33/$C33)</f>
        <v>0.00113815207734066</v>
      </c>
    </row>
    <row r="36" customFormat="false" ht="19.7" hidden="false" customHeight="false" outlineLevel="0" collapsed="false">
      <c r="A36" s="1" t="s">
        <v>127</v>
      </c>
    </row>
    <row r="37" customFormat="false" ht="15" hidden="false" customHeight="false" outlineLevel="0" collapsed="false">
      <c r="A37" s="2" t="s">
        <v>106</v>
      </c>
      <c r="D37" s="31" t="s">
        <v>107</v>
      </c>
    </row>
    <row r="38" customFormat="false" ht="15" hidden="false" customHeight="false" outlineLevel="0" collapsed="false">
      <c r="A38" s="3" t="s">
        <v>108</v>
      </c>
      <c r="B38" s="27" t="n">
        <v>46267</v>
      </c>
      <c r="D38" s="3" t="s">
        <v>109</v>
      </c>
      <c r="E38" s="47" t="n">
        <f aca="false">C51</f>
        <v>2141410</v>
      </c>
    </row>
    <row r="39" customFormat="false" ht="15" hidden="false" customHeight="false" outlineLevel="0" collapsed="false">
      <c r="A39" s="3" t="s">
        <v>110</v>
      </c>
      <c r="B39" s="28" t="s">
        <v>111</v>
      </c>
      <c r="D39" s="3" t="s">
        <v>112</v>
      </c>
      <c r="E39" s="47" t="n">
        <f aca="false">F51</f>
        <v>2144500.65</v>
      </c>
    </row>
    <row r="40" customFormat="false" ht="15" hidden="false" customHeight="false" outlineLevel="0" collapsed="false">
      <c r="A40" s="3" t="s">
        <v>113</v>
      </c>
      <c r="B40" s="28" t="s">
        <v>125</v>
      </c>
      <c r="D40" s="3" t="s">
        <v>11</v>
      </c>
      <c r="E40" s="47" t="n">
        <f aca="false">J51</f>
        <v>3090.65000000002</v>
      </c>
    </row>
    <row r="41" customFormat="false" ht="15" hidden="false" customHeight="false" outlineLevel="0" collapsed="false">
      <c r="A41" s="3" t="s">
        <v>115</v>
      </c>
      <c r="B41" s="28" t="s">
        <v>116</v>
      </c>
      <c r="D41" s="3" t="s">
        <v>13</v>
      </c>
      <c r="E41" s="47" t="n">
        <f aca="false">L51</f>
        <v>696.96271125</v>
      </c>
    </row>
    <row r="42" customFormat="false" ht="15" hidden="false" customHeight="false" outlineLevel="0" collapsed="false">
      <c r="A42" s="3" t="s">
        <v>117</v>
      </c>
      <c r="B42" s="28" t="s">
        <v>118</v>
      </c>
      <c r="D42" s="3" t="s">
        <v>15</v>
      </c>
      <c r="E42" s="47" t="n">
        <f aca="false">M51</f>
        <v>90.6051524625</v>
      </c>
    </row>
    <row r="43" customFormat="false" ht="15" hidden="false" customHeight="false" outlineLevel="0" collapsed="false">
      <c r="A43" s="3" t="s">
        <v>119</v>
      </c>
      <c r="B43" s="28" t="s">
        <v>128</v>
      </c>
      <c r="D43" s="3" t="s">
        <v>121</v>
      </c>
      <c r="E43" s="47" t="n">
        <f aca="false">N51</f>
        <v>787.5678637125</v>
      </c>
    </row>
    <row r="44" customFormat="false" ht="15" hidden="false" customHeight="false" outlineLevel="0" collapsed="false">
      <c r="D44" s="3" t="s">
        <v>16</v>
      </c>
      <c r="E44" s="47" t="n">
        <f aca="false">O51</f>
        <v>2303.08213628752</v>
      </c>
    </row>
    <row r="45" customFormat="false" ht="15" hidden="false" customHeight="false" outlineLevel="0" collapsed="false">
      <c r="D45" s="3" t="s">
        <v>8</v>
      </c>
      <c r="E45" s="48" t="n">
        <f aca="false">P51</f>
        <v>0.00107549798323886</v>
      </c>
    </row>
    <row r="46" customFormat="false" ht="15" hidden="false" customHeight="false" outlineLevel="0" collapsed="false">
      <c r="D46" s="3" t="s">
        <v>122</v>
      </c>
      <c r="E46" s="49" t="n">
        <f aca="false">I51</f>
        <v>0</v>
      </c>
    </row>
    <row r="47" customFormat="false" ht="15" hidden="false" customHeight="false" outlineLevel="0" collapsed="false">
      <c r="A47" s="31" t="s">
        <v>123</v>
      </c>
    </row>
    <row r="48" customFormat="false" ht="30" hidden="false" customHeight="true" outlineLevel="0" collapsed="false">
      <c r="A48" s="18" t="s">
        <v>71</v>
      </c>
      <c r="B48" s="18" t="s">
        <v>33</v>
      </c>
      <c r="C48" s="18" t="s">
        <v>36</v>
      </c>
      <c r="D48" s="18" t="s">
        <v>60</v>
      </c>
      <c r="E48" s="18" t="s">
        <v>34</v>
      </c>
      <c r="F48" s="18" t="s">
        <v>37</v>
      </c>
      <c r="G48" s="18" t="s">
        <v>61</v>
      </c>
      <c r="H48" s="18" t="s">
        <v>62</v>
      </c>
      <c r="I48" s="18" t="s">
        <v>35</v>
      </c>
      <c r="J48" s="18" t="s">
        <v>38</v>
      </c>
      <c r="K48" s="18" t="s">
        <v>63</v>
      </c>
      <c r="L48" s="18" t="s">
        <v>39</v>
      </c>
      <c r="M48" s="18" t="s">
        <v>64</v>
      </c>
      <c r="N48" s="18" t="s">
        <v>41</v>
      </c>
      <c r="O48" s="18" t="s">
        <v>7</v>
      </c>
      <c r="P48" s="18" t="s">
        <v>8</v>
      </c>
    </row>
    <row r="49" customFormat="false" ht="15" hidden="false" customHeight="false" outlineLevel="0" collapsed="false">
      <c r="A49" s="6" t="s">
        <v>86</v>
      </c>
      <c r="B49" s="33" t="n">
        <v>2500</v>
      </c>
      <c r="C49" s="33" t="n">
        <v>820000</v>
      </c>
      <c r="D49" s="9" t="n">
        <f aca="false">IF($B49=0,"",$C49/$B49)</f>
        <v>328</v>
      </c>
      <c r="E49" s="33" t="n">
        <v>2500</v>
      </c>
      <c r="F49" s="6" t="n">
        <v>819750.65</v>
      </c>
      <c r="G49" s="9" t="n">
        <f aca="false">IF($E49=0,"",$F49/$E49)</f>
        <v>327.90026</v>
      </c>
      <c r="H49" s="9" t="n">
        <f aca="false">IF(OR($B49=0,$E49=0),"N/A",$G49-$D49)</f>
        <v>-0.0997399999999971</v>
      </c>
      <c r="I49" s="33" t="n">
        <f aca="false">$B49-$E49</f>
        <v>0</v>
      </c>
      <c r="J49" s="9" t="n">
        <f aca="false">$F49-$C49</f>
        <v>-249.349999999977</v>
      </c>
      <c r="K49" s="6" t="str">
        <f aca="false">IF($E49=0,"—",IF($G49&gt;=Comm_Slab2_Start,"0.0325% of sell value","0.0175 paisa per share"))</f>
        <v>0.0325% of sell value</v>
      </c>
      <c r="L49" s="9" t="n">
        <f aca="false">IF($E49=0,0,IF($G49&gt;=Comm_Slab2_Start,$F49*Comm_Slab2_Rate,$E49*Comm_Slab1_Paisa/Paisa_Per_PKR))</f>
        <v>266.41896125</v>
      </c>
      <c r="M49" s="9" t="n">
        <f aca="false">$L49*SST_Rate</f>
        <v>34.6344649625</v>
      </c>
      <c r="N49" s="9" t="n">
        <f aca="false">$L49+$M49</f>
        <v>301.0534262125</v>
      </c>
      <c r="O49" s="9" t="n">
        <f aca="false">$J49-$N49</f>
        <v>-550.403426212477</v>
      </c>
      <c r="P49" s="10" t="n">
        <f aca="false">IF($C49=0,"N/A",$O49/$C49)</f>
        <v>-0.00067122369050302</v>
      </c>
    </row>
    <row r="50" customFormat="false" ht="15" hidden="false" customHeight="false" outlineLevel="0" collapsed="false">
      <c r="A50" s="6" t="s">
        <v>72</v>
      </c>
      <c r="B50" s="33" t="n">
        <v>12500</v>
      </c>
      <c r="C50" s="33" t="n">
        <v>1321410</v>
      </c>
      <c r="D50" s="9" t="n">
        <f aca="false">IF($B50=0,"",$C50/$B50)</f>
        <v>105.7128</v>
      </c>
      <c r="E50" s="33" t="n">
        <v>12500</v>
      </c>
      <c r="F50" s="6" t="n">
        <v>1324750</v>
      </c>
      <c r="G50" s="9" t="n">
        <f aca="false">IF($E50=0,"",$F50/$E50)</f>
        <v>105.98</v>
      </c>
      <c r="H50" s="9" t="n">
        <f aca="false">IF(OR($B50=0,$E50=0),"N/A",$G50-$D50)</f>
        <v>0.267200000000003</v>
      </c>
      <c r="I50" s="33" t="n">
        <f aca="false">$B50-$E50</f>
        <v>0</v>
      </c>
      <c r="J50" s="9" t="n">
        <f aca="false">$F50-$C50</f>
        <v>3340</v>
      </c>
      <c r="K50" s="6" t="str">
        <f aca="false">IF($E50=0,"—",IF($G50&gt;=Comm_Slab2_Start,"0.0325% of sell value","0.0175 paisa per share"))</f>
        <v>0.0325% of sell value</v>
      </c>
      <c r="L50" s="9" t="n">
        <f aca="false">IF($E50=0,0,IF($G50&gt;=Comm_Slab2_Start,$F50*Comm_Slab2_Rate,$E50*Comm_Slab1_Paisa/Paisa_Per_PKR))</f>
        <v>430.54375</v>
      </c>
      <c r="M50" s="9" t="n">
        <f aca="false">$L50*SST_Rate</f>
        <v>55.9706875</v>
      </c>
      <c r="N50" s="9" t="n">
        <f aca="false">$L50+$M50</f>
        <v>486.5144375</v>
      </c>
      <c r="O50" s="9" t="n">
        <f aca="false">$J50-$N50</f>
        <v>2853.4855625</v>
      </c>
      <c r="P50" s="10" t="n">
        <f aca="false">IF($C50=0,"N/A",$O50/$C50)</f>
        <v>0.00215942482840299</v>
      </c>
    </row>
    <row r="51" customFormat="false" ht="15" hidden="false" customHeight="false" outlineLevel="0" collapsed="false">
      <c r="A51" s="29" t="s">
        <v>42</v>
      </c>
      <c r="B51" s="50" t="n">
        <f aca="false">SUM(B49:B50)</f>
        <v>15000</v>
      </c>
      <c r="C51" s="50" t="n">
        <f aca="false">SUM(C49:C50)</f>
        <v>2141410</v>
      </c>
      <c r="D51" s="51" t="n">
        <f aca="false">IF($B51=0,"",$C51/$B51)</f>
        <v>142.760666666667</v>
      </c>
      <c r="E51" s="50" t="n">
        <f aca="false">SUM(E49:E50)</f>
        <v>15000</v>
      </c>
      <c r="F51" s="29" t="n">
        <f aca="false">SUM(F49:F50)</f>
        <v>2144500.65</v>
      </c>
      <c r="G51" s="51" t="n">
        <f aca="false">IF($E51=0,"",$F51/$E51)</f>
        <v>142.96671</v>
      </c>
      <c r="H51" s="51" t="n">
        <f aca="false">IF(OR($B51=0,$E51=0),"N/A",$G51-$D51)</f>
        <v>0.206043333333326</v>
      </c>
      <c r="I51" s="50" t="n">
        <f aca="false">$B51-$E51</f>
        <v>0</v>
      </c>
      <c r="J51" s="51" t="n">
        <f aca="false">SUM(J49:J50)</f>
        <v>3090.65000000002</v>
      </c>
      <c r="K51" s="29"/>
      <c r="L51" s="51" t="n">
        <f aca="false">SUM(L49:L50)</f>
        <v>696.96271125</v>
      </c>
      <c r="M51" s="51" t="n">
        <f aca="false">SUM(M49:M50)</f>
        <v>90.6051524625</v>
      </c>
      <c r="N51" s="51" t="n">
        <f aca="false">$L51+$M51</f>
        <v>787.5678637125</v>
      </c>
      <c r="O51" s="51" t="n">
        <f aca="false">SUM(O49:O50)</f>
        <v>2303.08213628752</v>
      </c>
      <c r="P51" s="52" t="n">
        <f aca="false">IF($C51=0,"N/A",$O51/$C51)</f>
        <v>0.00107549798323886</v>
      </c>
    </row>
    <row r="54" customFormat="false" ht="19.7" hidden="false" customHeight="false" outlineLevel="0" collapsed="false">
      <c r="A54" s="1" t="s">
        <v>129</v>
      </c>
    </row>
    <row r="55" customFormat="false" ht="15" hidden="false" customHeight="false" outlineLevel="0" collapsed="false">
      <c r="A55" s="2" t="s">
        <v>106</v>
      </c>
      <c r="D55" s="31" t="s">
        <v>107</v>
      </c>
    </row>
    <row r="56" customFormat="false" ht="15" hidden="false" customHeight="false" outlineLevel="0" collapsed="false">
      <c r="A56" s="3" t="s">
        <v>108</v>
      </c>
      <c r="B56" s="27" t="n">
        <v>46269</v>
      </c>
      <c r="D56" s="3" t="s">
        <v>109</v>
      </c>
      <c r="E56" s="47" t="n">
        <f aca="false">C70</f>
        <v>5365575</v>
      </c>
    </row>
    <row r="57" customFormat="false" ht="15" hidden="false" customHeight="false" outlineLevel="0" collapsed="false">
      <c r="A57" s="3" t="s">
        <v>110</v>
      </c>
      <c r="B57" s="28" t="s">
        <v>111</v>
      </c>
      <c r="D57" s="3" t="s">
        <v>112</v>
      </c>
      <c r="E57" s="47" t="n">
        <f aca="false">F70</f>
        <v>5376050</v>
      </c>
    </row>
    <row r="58" customFormat="false" ht="15" hidden="false" customHeight="false" outlineLevel="0" collapsed="false">
      <c r="A58" s="3" t="s">
        <v>113</v>
      </c>
      <c r="B58" s="28" t="s">
        <v>130</v>
      </c>
      <c r="D58" s="3" t="s">
        <v>11</v>
      </c>
      <c r="E58" s="47" t="n">
        <f aca="false">J70</f>
        <v>10475</v>
      </c>
    </row>
    <row r="59" customFormat="false" ht="15" hidden="false" customHeight="false" outlineLevel="0" collapsed="false">
      <c r="A59" s="3" t="s">
        <v>115</v>
      </c>
      <c r="B59" s="28" t="s">
        <v>116</v>
      </c>
      <c r="D59" s="3" t="s">
        <v>13</v>
      </c>
      <c r="E59" s="47" t="n">
        <f aca="false">L70</f>
        <v>1747.21625</v>
      </c>
    </row>
    <row r="60" customFormat="false" ht="15" hidden="false" customHeight="false" outlineLevel="0" collapsed="false">
      <c r="A60" s="3" t="s">
        <v>117</v>
      </c>
      <c r="B60" s="28" t="s">
        <v>118</v>
      </c>
      <c r="D60" s="3" t="s">
        <v>15</v>
      </c>
      <c r="E60" s="47" t="n">
        <f aca="false">M70</f>
        <v>227.1381125</v>
      </c>
    </row>
    <row r="61" customFormat="false" ht="15" hidden="false" customHeight="false" outlineLevel="0" collapsed="false">
      <c r="A61" s="3" t="s">
        <v>119</v>
      </c>
      <c r="B61" s="28" t="s">
        <v>131</v>
      </c>
      <c r="D61" s="3" t="s">
        <v>121</v>
      </c>
      <c r="E61" s="47" t="n">
        <f aca="false">N70</f>
        <v>1974.3543625</v>
      </c>
    </row>
    <row r="62" customFormat="false" ht="15" hidden="false" customHeight="false" outlineLevel="0" collapsed="false">
      <c r="D62" s="3" t="s">
        <v>16</v>
      </c>
      <c r="E62" s="47" t="n">
        <f aca="false">O70</f>
        <v>8500.6456375</v>
      </c>
    </row>
    <row r="63" customFormat="false" ht="15" hidden="false" customHeight="false" outlineLevel="0" collapsed="false">
      <c r="D63" s="3" t="s">
        <v>8</v>
      </c>
      <c r="E63" s="48" t="n">
        <f aca="false">P70</f>
        <v>0.00158429350768557</v>
      </c>
    </row>
    <row r="64" customFormat="false" ht="15" hidden="false" customHeight="false" outlineLevel="0" collapsed="false">
      <c r="D64" s="3" t="s">
        <v>122</v>
      </c>
      <c r="E64" s="49" t="n">
        <f aca="false">I70</f>
        <v>0</v>
      </c>
    </row>
    <row r="65" customFormat="false" ht="15" hidden="false" customHeight="false" outlineLevel="0" collapsed="false">
      <c r="A65" s="31" t="s">
        <v>123</v>
      </c>
    </row>
    <row r="66" customFormat="false" ht="30" hidden="false" customHeight="true" outlineLevel="0" collapsed="false">
      <c r="A66" s="18" t="s">
        <v>71</v>
      </c>
      <c r="B66" s="18" t="s">
        <v>33</v>
      </c>
      <c r="C66" s="18" t="s">
        <v>36</v>
      </c>
      <c r="D66" s="18" t="s">
        <v>60</v>
      </c>
      <c r="E66" s="18" t="s">
        <v>34</v>
      </c>
      <c r="F66" s="18" t="s">
        <v>37</v>
      </c>
      <c r="G66" s="18" t="s">
        <v>61</v>
      </c>
      <c r="H66" s="18" t="s">
        <v>62</v>
      </c>
      <c r="I66" s="18" t="s">
        <v>35</v>
      </c>
      <c r="J66" s="18" t="s">
        <v>38</v>
      </c>
      <c r="K66" s="18" t="s">
        <v>63</v>
      </c>
      <c r="L66" s="18" t="s">
        <v>39</v>
      </c>
      <c r="M66" s="18" t="s">
        <v>64</v>
      </c>
      <c r="N66" s="18" t="s">
        <v>41</v>
      </c>
      <c r="O66" s="18" t="s">
        <v>7</v>
      </c>
      <c r="P66" s="18" t="s">
        <v>8</v>
      </c>
    </row>
    <row r="67" customFormat="false" ht="15" hidden="false" customHeight="false" outlineLevel="0" collapsed="false">
      <c r="A67" s="6" t="s">
        <v>74</v>
      </c>
      <c r="B67" s="33" t="n">
        <v>5000</v>
      </c>
      <c r="C67" s="33" t="n">
        <v>2512270</v>
      </c>
      <c r="D67" s="9" t="n">
        <f aca="false">IF($B67=0,"",$C67/$B67)</f>
        <v>502.454</v>
      </c>
      <c r="E67" s="33" t="n">
        <v>5000</v>
      </c>
      <c r="F67" s="6" t="n">
        <v>2516050</v>
      </c>
      <c r="G67" s="9" t="n">
        <f aca="false">IF($E67=0,"",$F67/$E67)</f>
        <v>503.21</v>
      </c>
      <c r="H67" s="9" t="n">
        <f aca="false">IF(OR($B67=0,$E67=0),"N/A",$G67-$D67)</f>
        <v>0.755999999999972</v>
      </c>
      <c r="I67" s="33" t="n">
        <f aca="false">$B67-$E67</f>
        <v>0</v>
      </c>
      <c r="J67" s="9" t="n">
        <f aca="false">$F67-$C67</f>
        <v>3780</v>
      </c>
      <c r="K67" s="6" t="str">
        <f aca="false">IF($E67=0,"—",IF($G67&gt;=Comm_Slab2_Start,"0.0325% of sell value","0.0175 paisa per share"))</f>
        <v>0.0325% of sell value</v>
      </c>
      <c r="L67" s="9" t="n">
        <f aca="false">IF($E67=0,0,IF($G67&gt;=Comm_Slab2_Start,$F67*Comm_Slab2_Rate,$E67*Comm_Slab1_Paisa/Paisa_Per_PKR))</f>
        <v>817.71625</v>
      </c>
      <c r="M67" s="9" t="n">
        <f aca="false">$L67*SST_Rate</f>
        <v>106.3031125</v>
      </c>
      <c r="N67" s="9" t="n">
        <f aca="false">$L67+$M67</f>
        <v>924.0193625</v>
      </c>
      <c r="O67" s="9" t="n">
        <f aca="false">$J67-$N67</f>
        <v>2855.9806375</v>
      </c>
      <c r="P67" s="10" t="n">
        <f aca="false">IF($C67=0,"N/A",$O67/$C67)</f>
        <v>0.00113681277788613</v>
      </c>
    </row>
    <row r="68" customFormat="false" ht="15" hidden="false" customHeight="false" outlineLevel="0" collapsed="false">
      <c r="A68" s="6" t="s">
        <v>75</v>
      </c>
      <c r="B68" s="33" t="n">
        <v>5000</v>
      </c>
      <c r="C68" s="33" t="n">
        <v>1139230</v>
      </c>
      <c r="D68" s="9" t="n">
        <f aca="false">IF($B68=0,"",$C68/$B68)</f>
        <v>227.846</v>
      </c>
      <c r="E68" s="33" t="n">
        <v>5000</v>
      </c>
      <c r="F68" s="6" t="n">
        <v>1142500</v>
      </c>
      <c r="G68" s="9" t="n">
        <f aca="false">IF($E68=0,"",$F68/$E68)</f>
        <v>228.5</v>
      </c>
      <c r="H68" s="9" t="n">
        <f aca="false">IF(OR($B68=0,$E68=0),"N/A",$G68-$D68)</f>
        <v>0.653999999999996</v>
      </c>
      <c r="I68" s="33" t="n">
        <f aca="false">$B68-$E68</f>
        <v>0</v>
      </c>
      <c r="J68" s="9" t="n">
        <f aca="false">$F68-$C68</f>
        <v>3270</v>
      </c>
      <c r="K68" s="6" t="str">
        <f aca="false">IF($E68=0,"—",IF($G68&gt;=Comm_Slab2_Start,"0.0325% of sell value","0.0175 paisa per share"))</f>
        <v>0.0325% of sell value</v>
      </c>
      <c r="L68" s="9" t="n">
        <f aca="false">IF($E68=0,0,IF($G68&gt;=Comm_Slab2_Start,$F68*Comm_Slab2_Rate,$E68*Comm_Slab1_Paisa/Paisa_Per_PKR))</f>
        <v>371.3125</v>
      </c>
      <c r="M68" s="9" t="n">
        <f aca="false">$L68*SST_Rate</f>
        <v>48.270625</v>
      </c>
      <c r="N68" s="9" t="n">
        <f aca="false">$L68+$M68</f>
        <v>419.583125</v>
      </c>
      <c r="O68" s="9" t="n">
        <f aca="false">$J68-$N68</f>
        <v>2850.416875</v>
      </c>
      <c r="P68" s="10" t="n">
        <f aca="false">IF($C68=0,"N/A",$O68/$C68)</f>
        <v>0.00250205566479113</v>
      </c>
    </row>
    <row r="69" customFormat="false" ht="15" hidden="false" customHeight="false" outlineLevel="0" collapsed="false">
      <c r="A69" s="6" t="s">
        <v>72</v>
      </c>
      <c r="B69" s="33" t="n">
        <v>17500</v>
      </c>
      <c r="C69" s="33" t="n">
        <v>1714075</v>
      </c>
      <c r="D69" s="9" t="n">
        <f aca="false">IF($B69=0,"",$C69/$B69)</f>
        <v>97.9471428571429</v>
      </c>
      <c r="E69" s="33" t="n">
        <v>17500</v>
      </c>
      <c r="F69" s="6" t="n">
        <v>1717500</v>
      </c>
      <c r="G69" s="9" t="n">
        <f aca="false">IF($E69=0,"",$F69/$E69)</f>
        <v>98.1428571428571</v>
      </c>
      <c r="H69" s="9" t="n">
        <f aca="false">IF(OR($B69=0,$E69=0),"N/A",$G69-$D69)</f>
        <v>0.195714285714288</v>
      </c>
      <c r="I69" s="33" t="n">
        <f aca="false">$B69-$E69</f>
        <v>0</v>
      </c>
      <c r="J69" s="9" t="n">
        <f aca="false">$F69-$C69</f>
        <v>3425</v>
      </c>
      <c r="K69" s="6" t="str">
        <f aca="false">IF($E69=0,"—",IF($G69&gt;=Comm_Slab2_Start,"0.0325% of sell value","0.0175 paisa per share"))</f>
        <v>0.0325% of sell value</v>
      </c>
      <c r="L69" s="9" t="n">
        <f aca="false">IF($E69=0,0,IF($G69&gt;=Comm_Slab2_Start,$F69*Comm_Slab2_Rate,$E69*Comm_Slab1_Paisa/Paisa_Per_PKR))</f>
        <v>558.1875</v>
      </c>
      <c r="M69" s="9" t="n">
        <f aca="false">$L69*SST_Rate</f>
        <v>72.564375</v>
      </c>
      <c r="N69" s="9" t="n">
        <f aca="false">$L69+$M69</f>
        <v>630.751875</v>
      </c>
      <c r="O69" s="9" t="n">
        <f aca="false">$J69-$N69</f>
        <v>2794.248125</v>
      </c>
      <c r="P69" s="10" t="n">
        <f aca="false">IF($C69=0,"N/A",$O69/$C69)</f>
        <v>0.00163017844901769</v>
      </c>
    </row>
    <row r="70" customFormat="false" ht="15" hidden="false" customHeight="false" outlineLevel="0" collapsed="false">
      <c r="A70" s="29" t="s">
        <v>42</v>
      </c>
      <c r="B70" s="50" t="n">
        <f aca="false">SUM(B67:B69)</f>
        <v>27500</v>
      </c>
      <c r="C70" s="50" t="n">
        <f aca="false">SUM(C67:C69)</f>
        <v>5365575</v>
      </c>
      <c r="D70" s="51" t="n">
        <f aca="false">IF($B70=0,"",$C70/$B70)</f>
        <v>195.111818181818</v>
      </c>
      <c r="E70" s="50" t="n">
        <f aca="false">SUM(E67:E69)</f>
        <v>27500</v>
      </c>
      <c r="F70" s="29" t="n">
        <f aca="false">SUM(F67:F69)</f>
        <v>5376050</v>
      </c>
      <c r="G70" s="51" t="n">
        <f aca="false">IF($E70=0,"",$F70/$E70)</f>
        <v>195.492727272727</v>
      </c>
      <c r="H70" s="51" t="n">
        <f aca="false">IF(OR($B70=0,$E70=0),"N/A",$G70-$D70)</f>
        <v>0.380909090909086</v>
      </c>
      <c r="I70" s="50" t="n">
        <f aca="false">$B70-$E70</f>
        <v>0</v>
      </c>
      <c r="J70" s="51" t="n">
        <f aca="false">SUM(J67:J69)</f>
        <v>10475</v>
      </c>
      <c r="K70" s="29"/>
      <c r="L70" s="51" t="n">
        <f aca="false">SUM(L67:L69)</f>
        <v>1747.21625</v>
      </c>
      <c r="M70" s="51" t="n">
        <f aca="false">SUM(M67:M69)</f>
        <v>227.1381125</v>
      </c>
      <c r="N70" s="51" t="n">
        <f aca="false">$L70+$M70</f>
        <v>1974.3543625</v>
      </c>
      <c r="O70" s="51" t="n">
        <f aca="false">SUM(O67:O69)</f>
        <v>8500.6456375</v>
      </c>
      <c r="P70" s="52" t="n">
        <f aca="false">IF($C70=0,"N/A",$O70/$C70)</f>
        <v>0.00158429350768557</v>
      </c>
    </row>
    <row r="73" customFormat="false" ht="19.7" hidden="false" customHeight="false" outlineLevel="0" collapsed="false">
      <c r="A73" s="1" t="s">
        <v>132</v>
      </c>
    </row>
    <row r="74" customFormat="false" ht="15" hidden="false" customHeight="false" outlineLevel="0" collapsed="false">
      <c r="A74" s="2" t="s">
        <v>106</v>
      </c>
      <c r="D74" s="31" t="s">
        <v>107</v>
      </c>
    </row>
    <row r="75" customFormat="false" ht="15" hidden="false" customHeight="false" outlineLevel="0" collapsed="false">
      <c r="A75" s="3" t="s">
        <v>108</v>
      </c>
      <c r="B75" s="27" t="n">
        <v>46272</v>
      </c>
      <c r="D75" s="3" t="s">
        <v>109</v>
      </c>
      <c r="E75" s="47" t="n">
        <f aca="false">C88</f>
        <v>3022230</v>
      </c>
    </row>
    <row r="76" customFormat="false" ht="15" hidden="false" customHeight="false" outlineLevel="0" collapsed="false">
      <c r="A76" s="3" t="s">
        <v>110</v>
      </c>
      <c r="B76" s="28" t="s">
        <v>111</v>
      </c>
      <c r="D76" s="3" t="s">
        <v>112</v>
      </c>
      <c r="E76" s="47" t="n">
        <f aca="false">F88</f>
        <v>3025610</v>
      </c>
    </row>
    <row r="77" customFormat="false" ht="15" hidden="false" customHeight="false" outlineLevel="0" collapsed="false">
      <c r="A77" s="3" t="s">
        <v>113</v>
      </c>
      <c r="B77" s="28" t="s">
        <v>130</v>
      </c>
      <c r="D77" s="3" t="s">
        <v>11</v>
      </c>
      <c r="E77" s="47" t="n">
        <f aca="false">J88</f>
        <v>3380</v>
      </c>
    </row>
    <row r="78" customFormat="false" ht="15" hidden="false" customHeight="false" outlineLevel="0" collapsed="false">
      <c r="A78" s="3" t="s">
        <v>115</v>
      </c>
      <c r="B78" s="28" t="s">
        <v>116</v>
      </c>
      <c r="D78" s="3" t="s">
        <v>13</v>
      </c>
      <c r="E78" s="47" t="n">
        <f aca="false">L88</f>
        <v>983.32325</v>
      </c>
    </row>
    <row r="79" customFormat="false" ht="15" hidden="false" customHeight="false" outlineLevel="0" collapsed="false">
      <c r="A79" s="3" t="s">
        <v>117</v>
      </c>
      <c r="B79" s="28" t="s">
        <v>118</v>
      </c>
      <c r="D79" s="3" t="s">
        <v>15</v>
      </c>
      <c r="E79" s="47" t="n">
        <f aca="false">M88</f>
        <v>127.8320225</v>
      </c>
    </row>
    <row r="80" customFormat="false" ht="15" hidden="false" customHeight="false" outlineLevel="0" collapsed="false">
      <c r="A80" s="3" t="s">
        <v>119</v>
      </c>
      <c r="B80" s="28" t="s">
        <v>133</v>
      </c>
      <c r="D80" s="3" t="s">
        <v>121</v>
      </c>
      <c r="E80" s="47" t="n">
        <f aca="false">N88</f>
        <v>1111.1552725</v>
      </c>
    </row>
    <row r="81" customFormat="false" ht="15" hidden="false" customHeight="false" outlineLevel="0" collapsed="false">
      <c r="D81" s="3" t="s">
        <v>16</v>
      </c>
      <c r="E81" s="47" t="n">
        <f aca="false">O88</f>
        <v>2268.8447275</v>
      </c>
    </row>
    <row r="82" customFormat="false" ht="15" hidden="false" customHeight="false" outlineLevel="0" collapsed="false">
      <c r="D82" s="3" t="s">
        <v>8</v>
      </c>
      <c r="E82" s="48" t="n">
        <f aca="false">P88</f>
        <v>0.0007507187498966</v>
      </c>
    </row>
    <row r="83" customFormat="false" ht="15" hidden="false" customHeight="false" outlineLevel="0" collapsed="false">
      <c r="D83" s="3" t="s">
        <v>122</v>
      </c>
      <c r="E83" s="49" t="n">
        <f aca="false">I88</f>
        <v>0</v>
      </c>
    </row>
    <row r="84" customFormat="false" ht="15" hidden="false" customHeight="false" outlineLevel="0" collapsed="false">
      <c r="A84" s="31" t="s">
        <v>123</v>
      </c>
    </row>
    <row r="85" customFormat="false" ht="30" hidden="false" customHeight="true" outlineLevel="0" collapsed="false">
      <c r="A85" s="18" t="s">
        <v>71</v>
      </c>
      <c r="B85" s="18" t="s">
        <v>33</v>
      </c>
      <c r="C85" s="18" t="s">
        <v>36</v>
      </c>
      <c r="D85" s="18" t="s">
        <v>60</v>
      </c>
      <c r="E85" s="18" t="s">
        <v>34</v>
      </c>
      <c r="F85" s="18" t="s">
        <v>37</v>
      </c>
      <c r="G85" s="18" t="s">
        <v>61</v>
      </c>
      <c r="H85" s="18" t="s">
        <v>62</v>
      </c>
      <c r="I85" s="18" t="s">
        <v>35</v>
      </c>
      <c r="J85" s="18" t="s">
        <v>38</v>
      </c>
      <c r="K85" s="18" t="s">
        <v>63</v>
      </c>
      <c r="L85" s="18" t="s">
        <v>39</v>
      </c>
      <c r="M85" s="18" t="s">
        <v>64</v>
      </c>
      <c r="N85" s="18" t="s">
        <v>41</v>
      </c>
      <c r="O85" s="18" t="s">
        <v>7</v>
      </c>
      <c r="P85" s="18" t="s">
        <v>8</v>
      </c>
    </row>
    <row r="86" customFormat="false" ht="15" hidden="false" customHeight="false" outlineLevel="0" collapsed="false">
      <c r="A86" s="6" t="s">
        <v>74</v>
      </c>
      <c r="B86" s="33" t="n">
        <v>5000</v>
      </c>
      <c r="C86" s="33" t="n">
        <v>2461530</v>
      </c>
      <c r="D86" s="9" t="n">
        <f aca="false">IF($B86=0,"",$C86/$B86)</f>
        <v>492.306</v>
      </c>
      <c r="E86" s="33" t="n">
        <v>5000</v>
      </c>
      <c r="F86" s="6" t="n">
        <v>2464080</v>
      </c>
      <c r="G86" s="9" t="n">
        <f aca="false">IF($E86=0,"",$F86/$E86)</f>
        <v>492.816</v>
      </c>
      <c r="H86" s="9" t="n">
        <f aca="false">IF(OR($B86=0,$E86=0),"N/A",$G86-$D86)</f>
        <v>0.509999999999991</v>
      </c>
      <c r="I86" s="33" t="n">
        <f aca="false">$B86-$E86</f>
        <v>0</v>
      </c>
      <c r="J86" s="9" t="n">
        <f aca="false">$F86-$C86</f>
        <v>2550</v>
      </c>
      <c r="K86" s="6" t="str">
        <f aca="false">IF($E86=0,"—",IF($G86&gt;=Comm_Slab2_Start,"0.0325% of sell value","0.0175 paisa per share"))</f>
        <v>0.0325% of sell value</v>
      </c>
      <c r="L86" s="9" t="n">
        <f aca="false">IF($E86=0,0,IF($G86&gt;=Comm_Slab2_Start,$F86*Comm_Slab2_Rate,$E86*Comm_Slab1_Paisa/Paisa_Per_PKR))</f>
        <v>800.826</v>
      </c>
      <c r="M86" s="9" t="n">
        <f aca="false">$L86*SST_Rate</f>
        <v>104.10738</v>
      </c>
      <c r="N86" s="9" t="n">
        <f aca="false">$L86+$M86</f>
        <v>904.93338</v>
      </c>
      <c r="O86" s="9" t="n">
        <f aca="false">$J86-$N86</f>
        <v>1645.06662</v>
      </c>
      <c r="P86" s="10" t="n">
        <f aca="false">IF($C86=0,"N/A",$O86/$C86)</f>
        <v>0.000668310611692728</v>
      </c>
    </row>
    <row r="87" customFormat="false" ht="15" hidden="false" customHeight="false" outlineLevel="0" collapsed="false">
      <c r="A87" s="6" t="s">
        <v>75</v>
      </c>
      <c r="B87" s="33" t="n">
        <v>2500</v>
      </c>
      <c r="C87" s="33" t="n">
        <v>560700</v>
      </c>
      <c r="D87" s="9" t="n">
        <f aca="false">IF($B87=0,"",$C87/$B87)</f>
        <v>224.28</v>
      </c>
      <c r="E87" s="33" t="n">
        <v>2500</v>
      </c>
      <c r="F87" s="6" t="n">
        <v>561530</v>
      </c>
      <c r="G87" s="9" t="n">
        <f aca="false">IF($E87=0,"",$F87/$E87)</f>
        <v>224.612</v>
      </c>
      <c r="H87" s="9" t="n">
        <f aca="false">IF(OR($B87=0,$E87=0),"N/A",$G87-$D87)</f>
        <v>0.331999999999994</v>
      </c>
      <c r="I87" s="33" t="n">
        <f aca="false">$B87-$E87</f>
        <v>0</v>
      </c>
      <c r="J87" s="9" t="n">
        <f aca="false">$F87-$C87</f>
        <v>830</v>
      </c>
      <c r="K87" s="6" t="str">
        <f aca="false">IF($E87=0,"—",IF($G87&gt;=Comm_Slab2_Start,"0.0325% of sell value","0.0175 paisa per share"))</f>
        <v>0.0325% of sell value</v>
      </c>
      <c r="L87" s="9" t="n">
        <f aca="false">IF($E87=0,0,IF($G87&gt;=Comm_Slab2_Start,$F87*Comm_Slab2_Rate,$E87*Comm_Slab1_Paisa/Paisa_Per_PKR))</f>
        <v>182.49725</v>
      </c>
      <c r="M87" s="9" t="n">
        <f aca="false">$L87*SST_Rate</f>
        <v>23.7246425</v>
      </c>
      <c r="N87" s="9" t="n">
        <f aca="false">$L87+$M87</f>
        <v>206.2218925</v>
      </c>
      <c r="O87" s="9" t="n">
        <f aca="false">$J87-$N87</f>
        <v>623.7781075</v>
      </c>
      <c r="P87" s="10" t="n">
        <f aca="false">IF($C87=0,"N/A",$O87/$C87)</f>
        <v>0.00111249885411093</v>
      </c>
    </row>
    <row r="88" customFormat="false" ht="15" hidden="false" customHeight="false" outlineLevel="0" collapsed="false">
      <c r="A88" s="29" t="s">
        <v>42</v>
      </c>
      <c r="B88" s="50" t="n">
        <f aca="false">SUM(B86:B87)</f>
        <v>7500</v>
      </c>
      <c r="C88" s="50" t="n">
        <f aca="false">SUM(C86:C87)</f>
        <v>3022230</v>
      </c>
      <c r="D88" s="51" t="n">
        <f aca="false">IF($B88=0,"",$C88/$B88)</f>
        <v>402.964</v>
      </c>
      <c r="E88" s="50" t="n">
        <f aca="false">SUM(E86:E87)</f>
        <v>7500</v>
      </c>
      <c r="F88" s="29" t="n">
        <f aca="false">SUM(F86:F87)</f>
        <v>3025610</v>
      </c>
      <c r="G88" s="51" t="n">
        <f aca="false">IF($E88=0,"",$F88/$E88)</f>
        <v>403.414666666667</v>
      </c>
      <c r="H88" s="51" t="n">
        <f aca="false">IF(OR($B88=0,$E88=0),"N/A",$G88-$D88)</f>
        <v>0.450666666666677</v>
      </c>
      <c r="I88" s="50" t="n">
        <f aca="false">$B88-$E88</f>
        <v>0</v>
      </c>
      <c r="J88" s="51" t="n">
        <f aca="false">SUM(J86:J87)</f>
        <v>3380</v>
      </c>
      <c r="K88" s="29"/>
      <c r="L88" s="51" t="n">
        <f aca="false">SUM(L86:L87)</f>
        <v>983.32325</v>
      </c>
      <c r="M88" s="51" t="n">
        <f aca="false">SUM(M86:M87)</f>
        <v>127.8320225</v>
      </c>
      <c r="N88" s="51" t="n">
        <f aca="false">$L88+$M88</f>
        <v>1111.1552725</v>
      </c>
      <c r="O88" s="51" t="n">
        <f aca="false">SUM(O86:O87)</f>
        <v>2268.8447275</v>
      </c>
      <c r="P88" s="52" t="n">
        <f aca="false">IF($C88=0,"N/A",$O88/$C88)</f>
        <v>0.0007507187498966</v>
      </c>
    </row>
    <row r="91" customFormat="false" ht="19.7" hidden="false" customHeight="false" outlineLevel="0" collapsed="false">
      <c r="A91" s="1" t="s">
        <v>134</v>
      </c>
    </row>
    <row r="92" customFormat="false" ht="15" hidden="false" customHeight="false" outlineLevel="0" collapsed="false">
      <c r="A92" s="2" t="s">
        <v>106</v>
      </c>
      <c r="D92" s="31" t="s">
        <v>107</v>
      </c>
    </row>
    <row r="93" customFormat="false" ht="15" hidden="false" customHeight="false" outlineLevel="0" collapsed="false">
      <c r="A93" s="3" t="s">
        <v>108</v>
      </c>
      <c r="B93" s="27" t="n">
        <v>46273</v>
      </c>
      <c r="D93" s="3" t="s">
        <v>109</v>
      </c>
      <c r="E93" s="47" t="n">
        <f aca="false">C105</f>
        <v>252000</v>
      </c>
    </row>
    <row r="94" customFormat="false" ht="15" hidden="false" customHeight="false" outlineLevel="0" collapsed="false">
      <c r="A94" s="3" t="s">
        <v>110</v>
      </c>
      <c r="B94" s="28" t="s">
        <v>111</v>
      </c>
      <c r="D94" s="3" t="s">
        <v>112</v>
      </c>
      <c r="E94" s="47" t="n">
        <f aca="false">F105</f>
        <v>252125</v>
      </c>
    </row>
    <row r="95" customFormat="false" ht="15" hidden="false" customHeight="false" outlineLevel="0" collapsed="false">
      <c r="A95" s="3" t="s">
        <v>113</v>
      </c>
      <c r="B95" s="28" t="s">
        <v>130</v>
      </c>
      <c r="D95" s="3" t="s">
        <v>11</v>
      </c>
      <c r="E95" s="47" t="n">
        <f aca="false">J105</f>
        <v>125</v>
      </c>
    </row>
    <row r="96" customFormat="false" ht="15" hidden="false" customHeight="false" outlineLevel="0" collapsed="false">
      <c r="A96" s="3" t="s">
        <v>115</v>
      </c>
      <c r="B96" s="28" t="s">
        <v>116</v>
      </c>
      <c r="D96" s="3" t="s">
        <v>13</v>
      </c>
      <c r="E96" s="47" t="n">
        <f aca="false">L105</f>
        <v>81.940625</v>
      </c>
    </row>
    <row r="97" customFormat="false" ht="15" hidden="false" customHeight="false" outlineLevel="0" collapsed="false">
      <c r="A97" s="3" t="s">
        <v>117</v>
      </c>
      <c r="B97" s="28" t="s">
        <v>118</v>
      </c>
      <c r="D97" s="3" t="s">
        <v>15</v>
      </c>
      <c r="E97" s="47" t="n">
        <f aca="false">M105</f>
        <v>10.65228125</v>
      </c>
    </row>
    <row r="98" customFormat="false" ht="15" hidden="false" customHeight="false" outlineLevel="0" collapsed="false">
      <c r="A98" s="3" t="s">
        <v>119</v>
      </c>
      <c r="B98" s="28" t="s">
        <v>135</v>
      </c>
      <c r="D98" s="3" t="s">
        <v>121</v>
      </c>
      <c r="E98" s="47" t="n">
        <f aca="false">N105</f>
        <v>92.59290625</v>
      </c>
    </row>
    <row r="99" customFormat="false" ht="15" hidden="false" customHeight="false" outlineLevel="0" collapsed="false">
      <c r="D99" s="3" t="s">
        <v>16</v>
      </c>
      <c r="E99" s="47" t="n">
        <f aca="false">O105</f>
        <v>32.40709375</v>
      </c>
    </row>
    <row r="100" customFormat="false" ht="15" hidden="false" customHeight="false" outlineLevel="0" collapsed="false">
      <c r="D100" s="3" t="s">
        <v>8</v>
      </c>
      <c r="E100" s="48" t="n">
        <f aca="false">P105</f>
        <v>0.000128599578373016</v>
      </c>
    </row>
    <row r="101" customFormat="false" ht="15" hidden="false" customHeight="false" outlineLevel="0" collapsed="false">
      <c r="D101" s="3" t="s">
        <v>122</v>
      </c>
      <c r="E101" s="49" t="n">
        <f aca="false">I105</f>
        <v>0</v>
      </c>
    </row>
    <row r="102" customFormat="false" ht="15" hidden="false" customHeight="false" outlineLevel="0" collapsed="false">
      <c r="A102" s="31" t="s">
        <v>123</v>
      </c>
    </row>
    <row r="103" customFormat="false" ht="30" hidden="false" customHeight="true" outlineLevel="0" collapsed="false">
      <c r="A103" s="18" t="s">
        <v>71</v>
      </c>
      <c r="B103" s="18" t="s">
        <v>33</v>
      </c>
      <c r="C103" s="18" t="s">
        <v>36</v>
      </c>
      <c r="D103" s="18" t="s">
        <v>60</v>
      </c>
      <c r="E103" s="18" t="s">
        <v>34</v>
      </c>
      <c r="F103" s="18" t="s">
        <v>37</v>
      </c>
      <c r="G103" s="18" t="s">
        <v>61</v>
      </c>
      <c r="H103" s="18" t="s">
        <v>62</v>
      </c>
      <c r="I103" s="18" t="s">
        <v>35</v>
      </c>
      <c r="J103" s="18" t="s">
        <v>38</v>
      </c>
      <c r="K103" s="18" t="s">
        <v>63</v>
      </c>
      <c r="L103" s="18" t="s">
        <v>39</v>
      </c>
      <c r="M103" s="18" t="s">
        <v>64</v>
      </c>
      <c r="N103" s="18" t="s">
        <v>41</v>
      </c>
      <c r="O103" s="18" t="s">
        <v>7</v>
      </c>
      <c r="P103" s="18" t="s">
        <v>8</v>
      </c>
    </row>
    <row r="104" customFormat="false" ht="15" hidden="false" customHeight="false" outlineLevel="0" collapsed="false">
      <c r="A104" s="6" t="s">
        <v>74</v>
      </c>
      <c r="B104" s="33" t="n">
        <v>500</v>
      </c>
      <c r="C104" s="33" t="n">
        <v>252000</v>
      </c>
      <c r="D104" s="9" t="n">
        <f aca="false">IF($B104=0,"",$C104/$B104)</f>
        <v>504</v>
      </c>
      <c r="E104" s="33" t="n">
        <v>500</v>
      </c>
      <c r="F104" s="6" t="n">
        <v>252125</v>
      </c>
      <c r="G104" s="9" t="n">
        <f aca="false">IF($E104=0,"",$F104/$E104)</f>
        <v>504.25</v>
      </c>
      <c r="H104" s="9" t="n">
        <f aca="false">IF(OR($B104=0,$E104=0),"N/A",$G104-$D104)</f>
        <v>0.25</v>
      </c>
      <c r="I104" s="33" t="n">
        <f aca="false">$B104-$E104</f>
        <v>0</v>
      </c>
      <c r="J104" s="9" t="n">
        <f aca="false">$F104-$C104</f>
        <v>125</v>
      </c>
      <c r="K104" s="6" t="str">
        <f aca="false">IF($E104=0,"—",IF($G104&gt;=Comm_Slab2_Start,"0.0325% of sell value","0.0175 paisa per share"))</f>
        <v>0.0325% of sell value</v>
      </c>
      <c r="L104" s="9" t="n">
        <f aca="false">IF($E104=0,0,IF($G104&gt;=Comm_Slab2_Start,$F104*Comm_Slab2_Rate,$E104*Comm_Slab1_Paisa/Paisa_Per_PKR))</f>
        <v>81.940625</v>
      </c>
      <c r="M104" s="9" t="n">
        <f aca="false">$L104*SST_Rate</f>
        <v>10.65228125</v>
      </c>
      <c r="N104" s="9" t="n">
        <f aca="false">$L104+$M104</f>
        <v>92.59290625</v>
      </c>
      <c r="O104" s="9" t="n">
        <f aca="false">$J104-$N104</f>
        <v>32.40709375</v>
      </c>
      <c r="P104" s="10" t="n">
        <f aca="false">IF($C104=0,"N/A",$O104/$C104)</f>
        <v>0.000128599578373016</v>
      </c>
    </row>
    <row r="105" customFormat="false" ht="15" hidden="false" customHeight="false" outlineLevel="0" collapsed="false">
      <c r="A105" s="29" t="s">
        <v>42</v>
      </c>
      <c r="B105" s="50" t="n">
        <f aca="false">SUM(B104)</f>
        <v>500</v>
      </c>
      <c r="C105" s="50" t="n">
        <f aca="false">SUM(C104)</f>
        <v>252000</v>
      </c>
      <c r="D105" s="51" t="n">
        <f aca="false">IF($B105=0,"",$C105/$B105)</f>
        <v>504</v>
      </c>
      <c r="E105" s="50" t="n">
        <f aca="false">SUM(E104)</f>
        <v>500</v>
      </c>
      <c r="F105" s="29" t="n">
        <f aca="false">SUM(F104)</f>
        <v>252125</v>
      </c>
      <c r="G105" s="51" t="n">
        <f aca="false">IF($E105=0,"",$F105/$E105)</f>
        <v>504.25</v>
      </c>
      <c r="H105" s="51" t="n">
        <f aca="false">IF(OR($B105=0,$E105=0),"N/A",$G105-$D105)</f>
        <v>0.25</v>
      </c>
      <c r="I105" s="50" t="n">
        <f aca="false">$B105-$E105</f>
        <v>0</v>
      </c>
      <c r="J105" s="51" t="n">
        <f aca="false">SUM(J104)</f>
        <v>125</v>
      </c>
      <c r="K105" s="29"/>
      <c r="L105" s="51" t="n">
        <f aca="false">SUM(L104)</f>
        <v>81.940625</v>
      </c>
      <c r="M105" s="51" t="n">
        <f aca="false">SUM(M104)</f>
        <v>10.65228125</v>
      </c>
      <c r="N105" s="51" t="n">
        <f aca="false">$L105+$M105</f>
        <v>92.59290625</v>
      </c>
      <c r="O105" s="51" t="n">
        <f aca="false">SUM(O104)</f>
        <v>32.40709375</v>
      </c>
      <c r="P105" s="52" t="n">
        <f aca="false">IF($C105=0,"N/A",$O105/$C105)</f>
        <v>0.000128599578373016</v>
      </c>
    </row>
    <row r="108" customFormat="false" ht="19.7" hidden="false" customHeight="false" outlineLevel="0" collapsed="false">
      <c r="A108" s="1" t="s">
        <v>136</v>
      </c>
    </row>
    <row r="109" customFormat="false" ht="15" hidden="false" customHeight="false" outlineLevel="0" collapsed="false">
      <c r="A109" s="2" t="s">
        <v>106</v>
      </c>
      <c r="D109" s="31" t="s">
        <v>107</v>
      </c>
    </row>
    <row r="110" customFormat="false" ht="15" hidden="false" customHeight="false" outlineLevel="0" collapsed="false">
      <c r="A110" s="3" t="s">
        <v>108</v>
      </c>
      <c r="B110" s="27" t="n">
        <v>46274</v>
      </c>
      <c r="D110" s="3" t="s">
        <v>109</v>
      </c>
      <c r="E110" s="47" t="n">
        <f aca="false">C124</f>
        <v>3738415.47</v>
      </c>
    </row>
    <row r="111" customFormat="false" ht="15" hidden="false" customHeight="false" outlineLevel="0" collapsed="false">
      <c r="A111" s="3" t="s">
        <v>110</v>
      </c>
      <c r="B111" s="28" t="s">
        <v>111</v>
      </c>
      <c r="D111" s="3" t="s">
        <v>112</v>
      </c>
      <c r="E111" s="47" t="n">
        <f aca="false">F124</f>
        <v>3741478.2</v>
      </c>
    </row>
    <row r="112" customFormat="false" ht="15" hidden="false" customHeight="false" outlineLevel="0" collapsed="false">
      <c r="A112" s="3" t="s">
        <v>113</v>
      </c>
      <c r="B112" s="28" t="s">
        <v>125</v>
      </c>
      <c r="D112" s="3" t="s">
        <v>11</v>
      </c>
      <c r="E112" s="47" t="n">
        <f aca="false">J124</f>
        <v>3062.72999999999</v>
      </c>
    </row>
    <row r="113" customFormat="false" ht="15" hidden="false" customHeight="false" outlineLevel="0" collapsed="false">
      <c r="A113" s="3" t="s">
        <v>115</v>
      </c>
      <c r="B113" s="28" t="s">
        <v>116</v>
      </c>
      <c r="D113" s="3" t="s">
        <v>13</v>
      </c>
      <c r="E113" s="47" t="n">
        <f aca="false">L124</f>
        <v>1215.980415</v>
      </c>
    </row>
    <row r="114" customFormat="false" ht="15" hidden="false" customHeight="false" outlineLevel="0" collapsed="false">
      <c r="A114" s="3" t="s">
        <v>117</v>
      </c>
      <c r="B114" s="28" t="s">
        <v>118</v>
      </c>
      <c r="D114" s="3" t="s">
        <v>15</v>
      </c>
      <c r="E114" s="47" t="n">
        <f aca="false">M124</f>
        <v>158.07745395</v>
      </c>
    </row>
    <row r="115" customFormat="false" ht="15" hidden="false" customHeight="false" outlineLevel="0" collapsed="false">
      <c r="A115" s="3" t="s">
        <v>119</v>
      </c>
      <c r="B115" s="28" t="s">
        <v>137</v>
      </c>
      <c r="D115" s="3" t="s">
        <v>121</v>
      </c>
      <c r="E115" s="47" t="n">
        <f aca="false">N124</f>
        <v>1374.05786895</v>
      </c>
    </row>
    <row r="116" customFormat="false" ht="15" hidden="false" customHeight="false" outlineLevel="0" collapsed="false">
      <c r="D116" s="3" t="s">
        <v>16</v>
      </c>
      <c r="E116" s="47" t="n">
        <f aca="false">O124</f>
        <v>1688.67213104999</v>
      </c>
    </row>
    <row r="117" customFormat="false" ht="15" hidden="false" customHeight="false" outlineLevel="0" collapsed="false">
      <c r="D117" s="3" t="s">
        <v>8</v>
      </c>
      <c r="E117" s="48" t="n">
        <f aca="false">P124</f>
        <v>0.000451707988210842</v>
      </c>
    </row>
    <row r="118" customFormat="false" ht="15" hidden="false" customHeight="false" outlineLevel="0" collapsed="false">
      <c r="D118" s="3" t="s">
        <v>122</v>
      </c>
      <c r="E118" s="49" t="n">
        <f aca="false">I124</f>
        <v>0</v>
      </c>
    </row>
    <row r="119" customFormat="false" ht="15" hidden="false" customHeight="false" outlineLevel="0" collapsed="false">
      <c r="A119" s="31" t="s">
        <v>123</v>
      </c>
    </row>
    <row r="120" customFormat="false" ht="30" hidden="false" customHeight="true" outlineLevel="0" collapsed="false">
      <c r="A120" s="18" t="s">
        <v>71</v>
      </c>
      <c r="B120" s="18" t="s">
        <v>33</v>
      </c>
      <c r="C120" s="18" t="s">
        <v>36</v>
      </c>
      <c r="D120" s="18" t="s">
        <v>60</v>
      </c>
      <c r="E120" s="18" t="s">
        <v>34</v>
      </c>
      <c r="F120" s="18" t="s">
        <v>37</v>
      </c>
      <c r="G120" s="18" t="s">
        <v>61</v>
      </c>
      <c r="H120" s="18" t="s">
        <v>62</v>
      </c>
      <c r="I120" s="18" t="s">
        <v>35</v>
      </c>
      <c r="J120" s="18" t="s">
        <v>38</v>
      </c>
      <c r="K120" s="18" t="s">
        <v>63</v>
      </c>
      <c r="L120" s="18" t="s">
        <v>39</v>
      </c>
      <c r="M120" s="18" t="s">
        <v>64</v>
      </c>
      <c r="N120" s="18" t="s">
        <v>41</v>
      </c>
      <c r="O120" s="18" t="s">
        <v>7</v>
      </c>
      <c r="P120" s="18" t="s">
        <v>8</v>
      </c>
    </row>
    <row r="121" customFormat="false" ht="15" hidden="false" customHeight="false" outlineLevel="0" collapsed="false">
      <c r="A121" s="6" t="s">
        <v>94</v>
      </c>
      <c r="B121" s="33" t="n">
        <v>2500</v>
      </c>
      <c r="C121" s="33" t="n">
        <v>456291.95</v>
      </c>
      <c r="D121" s="9" t="n">
        <f aca="false">IF($B121=0,"",$C121/$B121)</f>
        <v>182.51678</v>
      </c>
      <c r="E121" s="33" t="n">
        <v>2500</v>
      </c>
      <c r="F121" s="6" t="n">
        <v>456000</v>
      </c>
      <c r="G121" s="9" t="n">
        <f aca="false">IF($E121=0,"",$F121/$E121)</f>
        <v>182.4</v>
      </c>
      <c r="H121" s="9" t="n">
        <f aca="false">IF(OR($B121=0,$E121=0),"N/A",$G121-$D121)</f>
        <v>-0.116780000000006</v>
      </c>
      <c r="I121" s="33" t="n">
        <f aca="false">$B121-$E121</f>
        <v>0</v>
      </c>
      <c r="J121" s="9" t="n">
        <f aca="false">$F121-$C121</f>
        <v>-291.950000000012</v>
      </c>
      <c r="K121" s="6" t="str">
        <f aca="false">IF($E121=0,"—",IF($G121&gt;=Comm_Slab2_Start,"0.0325% of sell value","0.0175 paisa per share"))</f>
        <v>0.0325% of sell value</v>
      </c>
      <c r="L121" s="9" t="n">
        <f aca="false">IF($E121=0,0,IF($G121&gt;=Comm_Slab2_Start,$F121*Comm_Slab2_Rate,$E121*Comm_Slab1_Paisa/Paisa_Per_PKR))</f>
        <v>148.2</v>
      </c>
      <c r="M121" s="9" t="n">
        <f aca="false">$L121*SST_Rate</f>
        <v>19.266</v>
      </c>
      <c r="N121" s="9" t="n">
        <f aca="false">$L121+$M121</f>
        <v>167.466</v>
      </c>
      <c r="O121" s="9" t="n">
        <f aca="false">$J121-$N121</f>
        <v>-459.416000000012</v>
      </c>
      <c r="P121" s="10" t="n">
        <f aca="false">IF($C121=0,"N/A",$O121/$C121)</f>
        <v>-0.00100684660336438</v>
      </c>
    </row>
    <row r="122" customFormat="false" ht="15" hidden="false" customHeight="false" outlineLevel="0" collapsed="false">
      <c r="A122" s="6" t="s">
        <v>77</v>
      </c>
      <c r="B122" s="33" t="n">
        <v>4</v>
      </c>
      <c r="C122" s="33" t="n">
        <v>363.52</v>
      </c>
      <c r="D122" s="9" t="n">
        <f aca="false">IF($B122=0,"",$C122/$B122)</f>
        <v>90.88</v>
      </c>
      <c r="E122" s="33" t="n">
        <v>4</v>
      </c>
      <c r="F122" s="6" t="n">
        <v>363.2</v>
      </c>
      <c r="G122" s="9" t="n">
        <f aca="false">IF($E122=0,"",$F122/$E122)</f>
        <v>90.8</v>
      </c>
      <c r="H122" s="9" t="n">
        <f aca="false">IF(OR($B122=0,$E122=0),"N/A",$G122-$D122)</f>
        <v>-0.0799999999999983</v>
      </c>
      <c r="I122" s="33" t="n">
        <f aca="false">$B122-$E122</f>
        <v>0</v>
      </c>
      <c r="J122" s="9" t="n">
        <f aca="false">$F122-$C122</f>
        <v>-0.319999999999993</v>
      </c>
      <c r="K122" s="6" t="str">
        <f aca="false">IF($E122=0,"—",IF($G122&gt;=Comm_Slab2_Start,"0.0325% of sell value","0.0175 paisa per share"))</f>
        <v>0.0325% of sell value</v>
      </c>
      <c r="L122" s="9" t="n">
        <f aca="false">IF($E122=0,0,IF($G122&gt;=Comm_Slab2_Start,$F122*Comm_Slab2_Rate,$E122*Comm_Slab1_Paisa/Paisa_Per_PKR))</f>
        <v>0.11804</v>
      </c>
      <c r="M122" s="9" t="n">
        <f aca="false">$L122*SST_Rate</f>
        <v>0.0153452</v>
      </c>
      <c r="N122" s="9" t="n">
        <f aca="false">$L122+$M122</f>
        <v>0.1333852</v>
      </c>
      <c r="O122" s="9" t="n">
        <f aca="false">$J122-$N122</f>
        <v>-0.453385199999993</v>
      </c>
      <c r="P122" s="10" t="n">
        <f aca="false">IF($C122=0,"N/A",$O122/$C122)</f>
        <v>-0.00124720840669012</v>
      </c>
    </row>
    <row r="123" customFormat="false" ht="15" hidden="false" customHeight="false" outlineLevel="0" collapsed="false">
      <c r="A123" s="6" t="s">
        <v>72</v>
      </c>
      <c r="B123" s="33" t="n">
        <v>36000</v>
      </c>
      <c r="C123" s="33" t="n">
        <v>3281760</v>
      </c>
      <c r="D123" s="9" t="n">
        <f aca="false">IF($B123=0,"",$C123/$B123)</f>
        <v>91.16</v>
      </c>
      <c r="E123" s="33" t="n">
        <v>36000</v>
      </c>
      <c r="F123" s="6" t="n">
        <v>3285115</v>
      </c>
      <c r="G123" s="9" t="n">
        <f aca="false">IF($E123=0,"",$F123/$E123)</f>
        <v>91.2531944444445</v>
      </c>
      <c r="H123" s="9" t="n">
        <f aca="false">IF(OR($B123=0,$E123=0),"N/A",$G123-$D123)</f>
        <v>0.0931944444444497</v>
      </c>
      <c r="I123" s="33" t="n">
        <f aca="false">$B123-$E123</f>
        <v>0</v>
      </c>
      <c r="J123" s="9" t="n">
        <f aca="false">$F123-$C123</f>
        <v>3355</v>
      </c>
      <c r="K123" s="6" t="str">
        <f aca="false">IF($E123=0,"—",IF($G123&gt;=Comm_Slab2_Start,"0.0325% of sell value","0.0175 paisa per share"))</f>
        <v>0.0325% of sell value</v>
      </c>
      <c r="L123" s="9" t="n">
        <f aca="false">IF($E123=0,0,IF($G123&gt;=Comm_Slab2_Start,$F123*Comm_Slab2_Rate,$E123*Comm_Slab1_Paisa/Paisa_Per_PKR))</f>
        <v>1067.662375</v>
      </c>
      <c r="M123" s="9" t="n">
        <f aca="false">$L123*SST_Rate</f>
        <v>138.79610875</v>
      </c>
      <c r="N123" s="9" t="n">
        <f aca="false">$L123+$M123</f>
        <v>1206.45848375</v>
      </c>
      <c r="O123" s="9" t="n">
        <f aca="false">$J123-$N123</f>
        <v>2148.54151625</v>
      </c>
      <c r="P123" s="10" t="n">
        <f aca="false">IF($C123=0,"N/A",$O123/$C123)</f>
        <v>0.000654691847133855</v>
      </c>
    </row>
    <row r="124" customFormat="false" ht="15" hidden="false" customHeight="false" outlineLevel="0" collapsed="false">
      <c r="A124" s="29" t="s">
        <v>42</v>
      </c>
      <c r="B124" s="50" t="n">
        <f aca="false">SUM(B121:B123)</f>
        <v>38504</v>
      </c>
      <c r="C124" s="50" t="n">
        <f aca="false">SUM(C121:C123)</f>
        <v>3738415.47</v>
      </c>
      <c r="D124" s="51" t="n">
        <f aca="false">IF($B124=0,"",$C124/$B124)</f>
        <v>97.0916130791606</v>
      </c>
      <c r="E124" s="50" t="n">
        <f aca="false">SUM(E121:E123)</f>
        <v>38504</v>
      </c>
      <c r="F124" s="29" t="n">
        <f aca="false">SUM(F121:F123)</f>
        <v>3741478.2</v>
      </c>
      <c r="G124" s="51" t="n">
        <f aca="false">IF($E124=0,"",$F124/$E124)</f>
        <v>97.1711562435072</v>
      </c>
      <c r="H124" s="51" t="n">
        <f aca="false">IF(OR($B124=0,$E124=0),"N/A",$G124-$D124)</f>
        <v>0.0795431643465605</v>
      </c>
      <c r="I124" s="50" t="n">
        <f aca="false">$B124-$E124</f>
        <v>0</v>
      </c>
      <c r="J124" s="51" t="n">
        <f aca="false">SUM(J121:J123)</f>
        <v>3062.72999999999</v>
      </c>
      <c r="K124" s="29"/>
      <c r="L124" s="51" t="n">
        <f aca="false">SUM(L121:L123)</f>
        <v>1215.980415</v>
      </c>
      <c r="M124" s="51" t="n">
        <f aca="false">SUM(M121:M123)</f>
        <v>158.07745395</v>
      </c>
      <c r="N124" s="51" t="n">
        <f aca="false">$L124+$M124</f>
        <v>1374.05786895</v>
      </c>
      <c r="O124" s="51" t="n">
        <f aca="false">SUM(O121:O123)</f>
        <v>1688.67213104999</v>
      </c>
      <c r="P124" s="52" t="n">
        <f aca="false">IF($C124=0,"N/A",$O124/$C124)</f>
        <v>0.000451707988210842</v>
      </c>
    </row>
    <row r="127" customFormat="false" ht="19.7" hidden="false" customHeight="false" outlineLevel="0" collapsed="false">
      <c r="A127" s="1" t="s">
        <v>138</v>
      </c>
    </row>
    <row r="128" customFormat="false" ht="15" hidden="false" customHeight="false" outlineLevel="0" collapsed="false">
      <c r="A128" s="2" t="s">
        <v>106</v>
      </c>
      <c r="D128" s="31" t="s">
        <v>107</v>
      </c>
    </row>
    <row r="129" customFormat="false" ht="15" hidden="false" customHeight="false" outlineLevel="0" collapsed="false">
      <c r="A129" s="3" t="s">
        <v>108</v>
      </c>
      <c r="B129" s="27" t="n">
        <v>46275</v>
      </c>
      <c r="D129" s="3" t="s">
        <v>109</v>
      </c>
      <c r="E129" s="47" t="n">
        <f aca="false">C149</f>
        <v>11274470</v>
      </c>
    </row>
    <row r="130" customFormat="false" ht="15" hidden="false" customHeight="false" outlineLevel="0" collapsed="false">
      <c r="A130" s="3" t="s">
        <v>110</v>
      </c>
      <c r="B130" s="28" t="s">
        <v>111</v>
      </c>
      <c r="D130" s="3" t="s">
        <v>112</v>
      </c>
      <c r="E130" s="47" t="n">
        <f aca="false">F149</f>
        <v>11286869.25</v>
      </c>
    </row>
    <row r="131" customFormat="false" ht="15" hidden="false" customHeight="false" outlineLevel="0" collapsed="false">
      <c r="A131" s="3" t="s">
        <v>113</v>
      </c>
      <c r="B131" s="28" t="s">
        <v>125</v>
      </c>
      <c r="D131" s="3" t="s">
        <v>11</v>
      </c>
      <c r="E131" s="47" t="n">
        <f aca="false">J149</f>
        <v>12399.2499999999</v>
      </c>
    </row>
    <row r="132" customFormat="false" ht="15" hidden="false" customHeight="false" outlineLevel="0" collapsed="false">
      <c r="A132" s="3" t="s">
        <v>115</v>
      </c>
      <c r="B132" s="28" t="s">
        <v>116</v>
      </c>
      <c r="D132" s="3" t="s">
        <v>13</v>
      </c>
      <c r="E132" s="47" t="n">
        <f aca="false">L149</f>
        <v>3668.23250625</v>
      </c>
    </row>
    <row r="133" customFormat="false" ht="15" hidden="false" customHeight="false" outlineLevel="0" collapsed="false">
      <c r="A133" s="3" t="s">
        <v>117</v>
      </c>
      <c r="B133" s="28" t="s">
        <v>118</v>
      </c>
      <c r="D133" s="3" t="s">
        <v>15</v>
      </c>
      <c r="E133" s="47" t="n">
        <f aca="false">M149</f>
        <v>476.8702258125</v>
      </c>
    </row>
    <row r="134" customFormat="false" ht="15" hidden="false" customHeight="false" outlineLevel="0" collapsed="false">
      <c r="A134" s="3" t="s">
        <v>119</v>
      </c>
      <c r="B134" s="28" t="s">
        <v>139</v>
      </c>
      <c r="D134" s="3" t="s">
        <v>121</v>
      </c>
      <c r="E134" s="47" t="n">
        <f aca="false">N149</f>
        <v>4145.1027320625</v>
      </c>
    </row>
    <row r="135" customFormat="false" ht="15" hidden="false" customHeight="false" outlineLevel="0" collapsed="false">
      <c r="D135" s="3" t="s">
        <v>16</v>
      </c>
      <c r="E135" s="47" t="n">
        <f aca="false">O149</f>
        <v>8254.14726793738</v>
      </c>
    </row>
    <row r="136" customFormat="false" ht="15" hidden="false" customHeight="false" outlineLevel="0" collapsed="false">
      <c r="D136" s="3" t="s">
        <v>8</v>
      </c>
      <c r="E136" s="48" t="n">
        <f aca="false">P149</f>
        <v>0.000732109559734283</v>
      </c>
    </row>
    <row r="137" customFormat="false" ht="15" hidden="false" customHeight="false" outlineLevel="0" collapsed="false">
      <c r="D137" s="3" t="s">
        <v>122</v>
      </c>
      <c r="E137" s="49" t="n">
        <f aca="false">I149</f>
        <v>0</v>
      </c>
    </row>
    <row r="138" customFormat="false" ht="15" hidden="false" customHeight="false" outlineLevel="0" collapsed="false">
      <c r="A138" s="31" t="s">
        <v>123</v>
      </c>
    </row>
    <row r="139" customFormat="false" ht="30" hidden="false" customHeight="true" outlineLevel="0" collapsed="false">
      <c r="A139" s="18" t="s">
        <v>71</v>
      </c>
      <c r="B139" s="18" t="s">
        <v>33</v>
      </c>
      <c r="C139" s="18" t="s">
        <v>36</v>
      </c>
      <c r="D139" s="18" t="s">
        <v>60</v>
      </c>
      <c r="E139" s="18" t="s">
        <v>34</v>
      </c>
      <c r="F139" s="18" t="s">
        <v>37</v>
      </c>
      <c r="G139" s="18" t="s">
        <v>61</v>
      </c>
      <c r="H139" s="18" t="s">
        <v>62</v>
      </c>
      <c r="I139" s="18" t="s">
        <v>35</v>
      </c>
      <c r="J139" s="18" t="s">
        <v>38</v>
      </c>
      <c r="K139" s="18" t="s">
        <v>63</v>
      </c>
      <c r="L139" s="18" t="s">
        <v>39</v>
      </c>
      <c r="M139" s="18" t="s">
        <v>64</v>
      </c>
      <c r="N139" s="18" t="s">
        <v>41</v>
      </c>
      <c r="O139" s="18" t="s">
        <v>7</v>
      </c>
      <c r="P139" s="18" t="s">
        <v>8</v>
      </c>
    </row>
    <row r="140" customFormat="false" ht="15" hidden="false" customHeight="false" outlineLevel="0" collapsed="false">
      <c r="A140" s="6" t="s">
        <v>100</v>
      </c>
      <c r="B140" s="33" t="n">
        <v>1000</v>
      </c>
      <c r="C140" s="33" t="n">
        <v>1080000</v>
      </c>
      <c r="D140" s="9" t="n">
        <f aca="false">IF($B140=0,"",$C140/$B140)</f>
        <v>1080</v>
      </c>
      <c r="E140" s="33" t="n">
        <v>1000</v>
      </c>
      <c r="F140" s="6" t="n">
        <v>1079008.66</v>
      </c>
      <c r="G140" s="9" t="n">
        <f aca="false">IF($E140=0,"",$F140/$E140)</f>
        <v>1079.00866</v>
      </c>
      <c r="H140" s="9" t="n">
        <f aca="false">IF(OR($B140=0,$E140=0),"N/A",$G140-$D140)</f>
        <v>-0.991340000000037</v>
      </c>
      <c r="I140" s="33" t="n">
        <f aca="false">$B140-$E140</f>
        <v>0</v>
      </c>
      <c r="J140" s="9" t="n">
        <f aca="false">$F140-$C140</f>
        <v>-991.340000000084</v>
      </c>
      <c r="K140" s="6" t="str">
        <f aca="false">IF($E140=0,"—",IF($G140&gt;=Comm_Slab2_Start,"0.0325% of sell value","0.0175 paisa per share"))</f>
        <v>0.0325% of sell value</v>
      </c>
      <c r="L140" s="9" t="n">
        <f aca="false">IF($E140=0,0,IF($G140&gt;=Comm_Slab2_Start,$F140*Comm_Slab2_Rate,$E140*Comm_Slab1_Paisa/Paisa_Per_PKR))</f>
        <v>350.6778145</v>
      </c>
      <c r="M140" s="9" t="n">
        <f aca="false">$L140*SST_Rate</f>
        <v>45.588115885</v>
      </c>
      <c r="N140" s="9" t="n">
        <f aca="false">$L140+$M140</f>
        <v>396.265930385</v>
      </c>
      <c r="O140" s="9" t="n">
        <f aca="false">$J140-$N140</f>
        <v>-1387.60593038508</v>
      </c>
      <c r="P140" s="10" t="n">
        <f aca="false">IF($C140=0,"N/A",$O140/$C140)</f>
        <v>-0.00128482030591211</v>
      </c>
    </row>
    <row r="141" customFormat="false" ht="15" hidden="false" customHeight="false" outlineLevel="0" collapsed="false">
      <c r="A141" s="6" t="s">
        <v>81</v>
      </c>
      <c r="B141" s="33" t="n">
        <v>1000</v>
      </c>
      <c r="C141" s="33" t="n">
        <v>495000</v>
      </c>
      <c r="D141" s="9" t="n">
        <f aca="false">IF($B141=0,"",$C141/$B141)</f>
        <v>495</v>
      </c>
      <c r="E141" s="33" t="n">
        <v>1000</v>
      </c>
      <c r="F141" s="6" t="n">
        <v>495000.5</v>
      </c>
      <c r="G141" s="9" t="n">
        <f aca="false">IF($E141=0,"",$F141/$E141)</f>
        <v>495.0005</v>
      </c>
      <c r="H141" s="9" t="n">
        <f aca="false">IF(OR($B141=0,$E141=0),"N/A",$G141-$D141)</f>
        <v>0.000499999999988177</v>
      </c>
      <c r="I141" s="33" t="n">
        <f aca="false">$B141-$E141</f>
        <v>0</v>
      </c>
      <c r="J141" s="9" t="n">
        <f aca="false">$F141-$C141</f>
        <v>0.5</v>
      </c>
      <c r="K141" s="6" t="str">
        <f aca="false">IF($E141=0,"—",IF($G141&gt;=Comm_Slab2_Start,"0.0325% of sell value","0.0175 paisa per share"))</f>
        <v>0.0325% of sell value</v>
      </c>
      <c r="L141" s="9" t="n">
        <f aca="false">IF($E141=0,0,IF($G141&gt;=Comm_Slab2_Start,$F141*Comm_Slab2_Rate,$E141*Comm_Slab1_Paisa/Paisa_Per_PKR))</f>
        <v>160.8751625</v>
      </c>
      <c r="M141" s="9" t="n">
        <f aca="false">$L141*SST_Rate</f>
        <v>20.913771125</v>
      </c>
      <c r="N141" s="9" t="n">
        <f aca="false">$L141+$M141</f>
        <v>181.788933625</v>
      </c>
      <c r="O141" s="9" t="n">
        <f aca="false">$J141-$N141</f>
        <v>-181.288933625</v>
      </c>
      <c r="P141" s="10" t="n">
        <f aca="false">IF($C141=0,"N/A",$O141/$C141)</f>
        <v>-0.000366240269949495</v>
      </c>
    </row>
    <row r="142" customFormat="false" ht="15" hidden="false" customHeight="false" outlineLevel="0" collapsed="false">
      <c r="A142" s="6" t="s">
        <v>74</v>
      </c>
      <c r="B142" s="33" t="n">
        <v>5000</v>
      </c>
      <c r="C142" s="33" t="n">
        <v>2537460</v>
      </c>
      <c r="D142" s="9" t="n">
        <f aca="false">IF($B142=0,"",$C142/$B142)</f>
        <v>507.492</v>
      </c>
      <c r="E142" s="33" t="n">
        <v>5000</v>
      </c>
      <c r="F142" s="6" t="n">
        <v>2541365</v>
      </c>
      <c r="G142" s="9" t="n">
        <f aca="false">IF($E142=0,"",$F142/$E142)</f>
        <v>508.273</v>
      </c>
      <c r="H142" s="9" t="n">
        <f aca="false">IF(OR($B142=0,$E142=0),"N/A",$G142-$D142)</f>
        <v>0.781000000000006</v>
      </c>
      <c r="I142" s="33" t="n">
        <f aca="false">$B142-$E142</f>
        <v>0</v>
      </c>
      <c r="J142" s="9" t="n">
        <f aca="false">$F142-$C142</f>
        <v>3905</v>
      </c>
      <c r="K142" s="6" t="str">
        <f aca="false">IF($E142=0,"—",IF($G142&gt;=Comm_Slab2_Start,"0.0325% of sell value","0.0175 paisa per share"))</f>
        <v>0.0325% of sell value</v>
      </c>
      <c r="L142" s="9" t="n">
        <f aca="false">IF($E142=0,0,IF($G142&gt;=Comm_Slab2_Start,$F142*Comm_Slab2_Rate,$E142*Comm_Slab1_Paisa/Paisa_Per_PKR))</f>
        <v>825.943625</v>
      </c>
      <c r="M142" s="9" t="n">
        <f aca="false">$L142*SST_Rate</f>
        <v>107.37267125</v>
      </c>
      <c r="N142" s="9" t="n">
        <f aca="false">$L142+$M142</f>
        <v>933.31629625</v>
      </c>
      <c r="O142" s="9" t="n">
        <f aca="false">$J142-$N142</f>
        <v>2971.68370375</v>
      </c>
      <c r="P142" s="10" t="n">
        <f aca="false">IF($C142=0,"N/A",$O142/$C142)</f>
        <v>0.00117112533941422</v>
      </c>
    </row>
    <row r="143" customFormat="false" ht="15" hidden="false" customHeight="false" outlineLevel="0" collapsed="false">
      <c r="A143" s="6" t="s">
        <v>86</v>
      </c>
      <c r="B143" s="33" t="n">
        <v>2000</v>
      </c>
      <c r="C143" s="33" t="n">
        <v>635920</v>
      </c>
      <c r="D143" s="9" t="n">
        <f aca="false">IF($B143=0,"",$C143/$B143)</f>
        <v>317.96</v>
      </c>
      <c r="E143" s="33" t="n">
        <v>2000</v>
      </c>
      <c r="F143" s="6" t="n">
        <v>633804.13</v>
      </c>
      <c r="G143" s="9" t="n">
        <f aca="false">IF($E143=0,"",$F143/$E143)</f>
        <v>316.902065</v>
      </c>
      <c r="H143" s="9" t="n">
        <f aca="false">IF(OR($B143=0,$E143=0),"N/A",$G143-$D143)</f>
        <v>-1.05793499999999</v>
      </c>
      <c r="I143" s="33" t="n">
        <f aca="false">$B143-$E143</f>
        <v>0</v>
      </c>
      <c r="J143" s="9" t="n">
        <f aca="false">$F143-$C143</f>
        <v>-2115.87</v>
      </c>
      <c r="K143" s="6" t="str">
        <f aca="false">IF($E143=0,"—",IF($G143&gt;=Comm_Slab2_Start,"0.0325% of sell value","0.0175 paisa per share"))</f>
        <v>0.0325% of sell value</v>
      </c>
      <c r="L143" s="9" t="n">
        <f aca="false">IF($E143=0,0,IF($G143&gt;=Comm_Slab2_Start,$F143*Comm_Slab2_Rate,$E143*Comm_Slab1_Paisa/Paisa_Per_PKR))</f>
        <v>205.98634225</v>
      </c>
      <c r="M143" s="9" t="n">
        <f aca="false">$L143*SST_Rate</f>
        <v>26.7782244925</v>
      </c>
      <c r="N143" s="9" t="n">
        <f aca="false">$L143+$M143</f>
        <v>232.7645667425</v>
      </c>
      <c r="O143" s="9" t="n">
        <f aca="false">$J143-$N143</f>
        <v>-2348.6345667425</v>
      </c>
      <c r="P143" s="10" t="n">
        <f aca="false">IF($C143=0,"N/A",$O143/$C143)</f>
        <v>-0.00369328621012469</v>
      </c>
    </row>
    <row r="144" customFormat="false" ht="15" hidden="false" customHeight="false" outlineLevel="0" collapsed="false">
      <c r="A144" s="6" t="s">
        <v>78</v>
      </c>
      <c r="B144" s="33" t="n">
        <v>2500</v>
      </c>
      <c r="C144" s="33" t="n">
        <v>797625</v>
      </c>
      <c r="D144" s="9" t="n">
        <f aca="false">IF($B144=0,"",$C144/$B144)</f>
        <v>319.05</v>
      </c>
      <c r="E144" s="33" t="n">
        <v>2500</v>
      </c>
      <c r="F144" s="6" t="n">
        <v>800625</v>
      </c>
      <c r="G144" s="9" t="n">
        <f aca="false">IF($E144=0,"",$F144/$E144)</f>
        <v>320.25</v>
      </c>
      <c r="H144" s="9" t="n">
        <f aca="false">IF(OR($B144=0,$E144=0),"N/A",$G144-$D144)</f>
        <v>1.19999999999999</v>
      </c>
      <c r="I144" s="33" t="n">
        <f aca="false">$B144-$E144</f>
        <v>0</v>
      </c>
      <c r="J144" s="9" t="n">
        <f aca="false">$F144-$C144</f>
        <v>3000</v>
      </c>
      <c r="K144" s="6" t="str">
        <f aca="false">IF($E144=0,"—",IF($G144&gt;=Comm_Slab2_Start,"0.0325% of sell value","0.0175 paisa per share"))</f>
        <v>0.0325% of sell value</v>
      </c>
      <c r="L144" s="9" t="n">
        <f aca="false">IF($E144=0,0,IF($G144&gt;=Comm_Slab2_Start,$F144*Comm_Slab2_Rate,$E144*Comm_Slab1_Paisa/Paisa_Per_PKR))</f>
        <v>260.203125</v>
      </c>
      <c r="M144" s="9" t="n">
        <f aca="false">$L144*SST_Rate</f>
        <v>33.82640625</v>
      </c>
      <c r="N144" s="9" t="n">
        <f aca="false">$L144+$M144</f>
        <v>294.02953125</v>
      </c>
      <c r="O144" s="9" t="n">
        <f aca="false">$J144-$N144</f>
        <v>2705.97046875</v>
      </c>
      <c r="P144" s="10" t="n">
        <f aca="false">IF($C144=0,"N/A",$O144/$C144)</f>
        <v>0.00339253467324871</v>
      </c>
    </row>
    <row r="145" customFormat="false" ht="15" hidden="false" customHeight="false" outlineLevel="0" collapsed="false">
      <c r="A145" s="6" t="s">
        <v>75</v>
      </c>
      <c r="B145" s="33" t="n">
        <v>2500</v>
      </c>
      <c r="C145" s="33" t="n">
        <v>535200</v>
      </c>
      <c r="D145" s="9" t="n">
        <f aca="false">IF($B145=0,"",$C145/$B145)</f>
        <v>214.08</v>
      </c>
      <c r="E145" s="33" t="n">
        <v>2500</v>
      </c>
      <c r="F145" s="6" t="n">
        <v>535290</v>
      </c>
      <c r="G145" s="9" t="n">
        <f aca="false">IF($E145=0,"",$F145/$E145)</f>
        <v>214.116</v>
      </c>
      <c r="H145" s="9" t="n">
        <f aca="false">IF(OR($B145=0,$E145=0),"N/A",$G145-$D145)</f>
        <v>0.0360000000000014</v>
      </c>
      <c r="I145" s="33" t="n">
        <f aca="false">$B145-$E145</f>
        <v>0</v>
      </c>
      <c r="J145" s="9" t="n">
        <f aca="false">$F145-$C145</f>
        <v>90</v>
      </c>
      <c r="K145" s="6" t="str">
        <f aca="false">IF($E145=0,"—",IF($G145&gt;=Comm_Slab2_Start,"0.0325% of sell value","0.0175 paisa per share"))</f>
        <v>0.0325% of sell value</v>
      </c>
      <c r="L145" s="9" t="n">
        <f aca="false">IF($E145=0,0,IF($G145&gt;=Comm_Slab2_Start,$F145*Comm_Slab2_Rate,$E145*Comm_Slab1_Paisa/Paisa_Per_PKR))</f>
        <v>173.96925</v>
      </c>
      <c r="M145" s="9" t="n">
        <f aca="false">$L145*SST_Rate</f>
        <v>22.6160025</v>
      </c>
      <c r="N145" s="9" t="n">
        <f aca="false">$L145+$M145</f>
        <v>196.5852525</v>
      </c>
      <c r="O145" s="9" t="n">
        <f aca="false">$J145-$N145</f>
        <v>-106.5852525</v>
      </c>
      <c r="P145" s="10" t="n">
        <f aca="false">IF($C145=0,"N/A",$O145/$C145)</f>
        <v>-0.000199150322309417</v>
      </c>
    </row>
    <row r="146" customFormat="false" ht="15" hidden="false" customHeight="false" outlineLevel="0" collapsed="false">
      <c r="A146" s="6" t="s">
        <v>77</v>
      </c>
      <c r="B146" s="33" t="n">
        <v>20000</v>
      </c>
      <c r="C146" s="33" t="n">
        <v>1674650</v>
      </c>
      <c r="D146" s="9" t="n">
        <f aca="false">IF($B146=0,"",$C146/$B146)</f>
        <v>83.7325</v>
      </c>
      <c r="E146" s="33" t="n">
        <v>20000</v>
      </c>
      <c r="F146" s="6" t="n">
        <v>1678600.96</v>
      </c>
      <c r="G146" s="9" t="n">
        <f aca="false">IF($E146=0,"",$F146/$E146)</f>
        <v>83.930048</v>
      </c>
      <c r="H146" s="9" t="n">
        <f aca="false">IF(OR($B146=0,$E146=0),"N/A",$G146-$D146)</f>
        <v>0.197547999999998</v>
      </c>
      <c r="I146" s="33" t="n">
        <f aca="false">$B146-$E146</f>
        <v>0</v>
      </c>
      <c r="J146" s="9" t="n">
        <f aca="false">$F146-$C146</f>
        <v>3950.95999999996</v>
      </c>
      <c r="K146" s="6" t="str">
        <f aca="false">IF($E146=0,"—",IF($G146&gt;=Comm_Slab2_Start,"0.0325% of sell value","0.0175 paisa per share"))</f>
        <v>0.0325% of sell value</v>
      </c>
      <c r="L146" s="9" t="n">
        <f aca="false">IF($E146=0,0,IF($G146&gt;=Comm_Slab2_Start,$F146*Comm_Slab2_Rate,$E146*Comm_Slab1_Paisa/Paisa_Per_PKR))</f>
        <v>545.545312</v>
      </c>
      <c r="M146" s="9" t="n">
        <f aca="false">$L146*SST_Rate</f>
        <v>70.92089056</v>
      </c>
      <c r="N146" s="9" t="n">
        <f aca="false">$L146+$M146</f>
        <v>616.46620256</v>
      </c>
      <c r="O146" s="9" t="n">
        <f aca="false">$J146-$N146</f>
        <v>3334.49379743996</v>
      </c>
      <c r="P146" s="10" t="n">
        <f aca="false">IF($C146=0,"N/A",$O146/$C146)</f>
        <v>0.00199115862863283</v>
      </c>
    </row>
    <row r="147" customFormat="false" ht="15" hidden="false" customHeight="false" outlineLevel="0" collapsed="false">
      <c r="A147" s="6" t="s">
        <v>72</v>
      </c>
      <c r="B147" s="33" t="n">
        <v>33500</v>
      </c>
      <c r="C147" s="33" t="n">
        <v>2830505</v>
      </c>
      <c r="D147" s="9" t="n">
        <f aca="false">IF($B147=0,"",$C147/$B147)</f>
        <v>84.4926865671642</v>
      </c>
      <c r="E147" s="33" t="n">
        <v>33500</v>
      </c>
      <c r="F147" s="6" t="n">
        <v>2834750</v>
      </c>
      <c r="G147" s="9" t="n">
        <f aca="false">IF($E147=0,"",$F147/$E147)</f>
        <v>84.6194029850746</v>
      </c>
      <c r="H147" s="9" t="n">
        <f aca="false">IF(OR($B147=0,$E147=0),"N/A",$G147-$D147)</f>
        <v>0.126716417910444</v>
      </c>
      <c r="I147" s="33" t="n">
        <f aca="false">$B147-$E147</f>
        <v>0</v>
      </c>
      <c r="J147" s="9" t="n">
        <f aca="false">$F147-$C147</f>
        <v>4245</v>
      </c>
      <c r="K147" s="6" t="str">
        <f aca="false">IF($E147=0,"—",IF($G147&gt;=Comm_Slab2_Start,"0.0325% of sell value","0.0175 paisa per share"))</f>
        <v>0.0325% of sell value</v>
      </c>
      <c r="L147" s="9" t="n">
        <f aca="false">IF($E147=0,0,IF($G147&gt;=Comm_Slab2_Start,$F147*Comm_Slab2_Rate,$E147*Comm_Slab1_Paisa/Paisa_Per_PKR))</f>
        <v>921.29375</v>
      </c>
      <c r="M147" s="9" t="n">
        <f aca="false">$L147*SST_Rate</f>
        <v>119.7681875</v>
      </c>
      <c r="N147" s="9" t="n">
        <f aca="false">$L147+$M147</f>
        <v>1041.0619375</v>
      </c>
      <c r="O147" s="9" t="n">
        <f aca="false">$J147-$N147</f>
        <v>3203.9380625</v>
      </c>
      <c r="P147" s="10" t="n">
        <f aca="false">IF($C147=0,"N/A",$O147/$C147)</f>
        <v>0.00113193160319448</v>
      </c>
    </row>
    <row r="148" customFormat="false" ht="15" hidden="false" customHeight="false" outlineLevel="0" collapsed="false">
      <c r="A148" s="6" t="s">
        <v>88</v>
      </c>
      <c r="B148" s="33" t="n">
        <v>2000</v>
      </c>
      <c r="C148" s="33" t="n">
        <v>688110</v>
      </c>
      <c r="D148" s="9" t="n">
        <f aca="false">IF($B148=0,"",$C148/$B148)</f>
        <v>344.055</v>
      </c>
      <c r="E148" s="33" t="n">
        <v>2000</v>
      </c>
      <c r="F148" s="6" t="n">
        <v>688425</v>
      </c>
      <c r="G148" s="9" t="n">
        <f aca="false">IF($E148=0,"",$F148/$E148)</f>
        <v>344.2125</v>
      </c>
      <c r="H148" s="9" t="n">
        <f aca="false">IF(OR($B148=0,$E148=0),"N/A",$G148-$D148)</f>
        <v>0.15749999999997</v>
      </c>
      <c r="I148" s="33" t="n">
        <f aca="false">$B148-$E148</f>
        <v>0</v>
      </c>
      <c r="J148" s="9" t="n">
        <f aca="false">$F148-$C148</f>
        <v>315</v>
      </c>
      <c r="K148" s="6" t="str">
        <f aca="false">IF($E148=0,"—",IF($G148&gt;=Comm_Slab2_Start,"0.0325% of sell value","0.0175 paisa per share"))</f>
        <v>0.0325% of sell value</v>
      </c>
      <c r="L148" s="9" t="n">
        <f aca="false">IF($E148=0,0,IF($G148&gt;=Comm_Slab2_Start,$F148*Comm_Slab2_Rate,$E148*Comm_Slab1_Paisa/Paisa_Per_PKR))</f>
        <v>223.738125</v>
      </c>
      <c r="M148" s="9" t="n">
        <f aca="false">$L148*SST_Rate</f>
        <v>29.08595625</v>
      </c>
      <c r="N148" s="9" t="n">
        <f aca="false">$L148+$M148</f>
        <v>252.82408125</v>
      </c>
      <c r="O148" s="9" t="n">
        <f aca="false">$J148-$N148</f>
        <v>62.17591875</v>
      </c>
      <c r="P148" s="10" t="n">
        <f aca="false">IF($C148=0,"N/A",$O148/$C148)</f>
        <v>9.03575282294982E-005</v>
      </c>
    </row>
    <row r="149" customFormat="false" ht="15" hidden="false" customHeight="false" outlineLevel="0" collapsed="false">
      <c r="A149" s="29" t="s">
        <v>42</v>
      </c>
      <c r="B149" s="50" t="n">
        <f aca="false">SUM(B140:B148)</f>
        <v>69500</v>
      </c>
      <c r="C149" s="50" t="n">
        <f aca="false">SUM(C140:C148)</f>
        <v>11274470</v>
      </c>
      <c r="D149" s="51" t="n">
        <f aca="false">IF($B149=0,"",$C149/$B149)</f>
        <v>162.222589928058</v>
      </c>
      <c r="E149" s="50" t="n">
        <f aca="false">SUM(E140:E148)</f>
        <v>69500</v>
      </c>
      <c r="F149" s="29" t="n">
        <f aca="false">SUM(F140:F148)</f>
        <v>11286869.25</v>
      </c>
      <c r="G149" s="51" t="n">
        <f aca="false">IF($E149=0,"",$F149/$E149)</f>
        <v>162.400996402878</v>
      </c>
      <c r="H149" s="51" t="n">
        <f aca="false">IF(OR($B149=0,$E149=0),"N/A",$G149-$D149)</f>
        <v>0.17840647482015</v>
      </c>
      <c r="I149" s="50" t="n">
        <f aca="false">$B149-$E149</f>
        <v>0</v>
      </c>
      <c r="J149" s="51" t="n">
        <f aca="false">SUM(J140:J148)</f>
        <v>12399.2499999999</v>
      </c>
      <c r="K149" s="29"/>
      <c r="L149" s="51" t="n">
        <f aca="false">SUM(L140:L148)</f>
        <v>3668.23250625</v>
      </c>
      <c r="M149" s="51" t="n">
        <f aca="false">SUM(M140:M148)</f>
        <v>476.8702258125</v>
      </c>
      <c r="N149" s="51" t="n">
        <f aca="false">$L149+$M149</f>
        <v>4145.1027320625</v>
      </c>
      <c r="O149" s="51" t="n">
        <f aca="false">SUM(O140:O148)</f>
        <v>8254.14726793738</v>
      </c>
      <c r="P149" s="52" t="n">
        <f aca="false">IF($C149=0,"N/A",$O149/$C149)</f>
        <v>0.000732109559734283</v>
      </c>
    </row>
    <row r="152" customFormat="false" ht="19.7" hidden="false" customHeight="false" outlineLevel="0" collapsed="false">
      <c r="A152" s="1" t="s">
        <v>140</v>
      </c>
    </row>
    <row r="153" customFormat="false" ht="15" hidden="false" customHeight="false" outlineLevel="0" collapsed="false">
      <c r="A153" s="2" t="s">
        <v>106</v>
      </c>
      <c r="D153" s="31" t="s">
        <v>107</v>
      </c>
    </row>
    <row r="154" customFormat="false" ht="15" hidden="false" customHeight="false" outlineLevel="0" collapsed="false">
      <c r="A154" s="3" t="s">
        <v>108</v>
      </c>
      <c r="B154" s="27" t="n">
        <v>46276</v>
      </c>
      <c r="D154" s="3" t="s">
        <v>109</v>
      </c>
      <c r="E154" s="47" t="n">
        <f aca="false">C172</f>
        <v>7845134.94</v>
      </c>
    </row>
    <row r="155" customFormat="false" ht="15" hidden="false" customHeight="false" outlineLevel="0" collapsed="false">
      <c r="A155" s="3" t="s">
        <v>110</v>
      </c>
      <c r="B155" s="28" t="s">
        <v>111</v>
      </c>
      <c r="D155" s="3" t="s">
        <v>112</v>
      </c>
      <c r="E155" s="47" t="n">
        <f aca="false">F172</f>
        <v>7844789.99</v>
      </c>
    </row>
    <row r="156" customFormat="false" ht="15" hidden="false" customHeight="false" outlineLevel="0" collapsed="false">
      <c r="A156" s="3" t="s">
        <v>113</v>
      </c>
      <c r="B156" s="28" t="s">
        <v>125</v>
      </c>
      <c r="D156" s="3" t="s">
        <v>11</v>
      </c>
      <c r="E156" s="47" t="n">
        <f aca="false">J172</f>
        <v>-344.949999999983</v>
      </c>
    </row>
    <row r="157" customFormat="false" ht="15" hidden="false" customHeight="false" outlineLevel="0" collapsed="false">
      <c r="A157" s="3" t="s">
        <v>115</v>
      </c>
      <c r="B157" s="28" t="s">
        <v>116</v>
      </c>
      <c r="D157" s="3" t="s">
        <v>13</v>
      </c>
      <c r="E157" s="47" t="n">
        <f aca="false">L172</f>
        <v>2549.55674675</v>
      </c>
    </row>
    <row r="158" customFormat="false" ht="15" hidden="false" customHeight="false" outlineLevel="0" collapsed="false">
      <c r="A158" s="3" t="s">
        <v>117</v>
      </c>
      <c r="B158" s="28" t="s">
        <v>118</v>
      </c>
      <c r="D158" s="3" t="s">
        <v>15</v>
      </c>
      <c r="E158" s="47" t="n">
        <f aca="false">M172</f>
        <v>331.4423770775</v>
      </c>
    </row>
    <row r="159" customFormat="false" ht="15" hidden="false" customHeight="false" outlineLevel="0" collapsed="false">
      <c r="A159" s="3" t="s">
        <v>119</v>
      </c>
      <c r="B159" s="28" t="s">
        <v>141</v>
      </c>
      <c r="D159" s="3" t="s">
        <v>121</v>
      </c>
      <c r="E159" s="47" t="n">
        <f aca="false">N172</f>
        <v>2880.9991238275</v>
      </c>
    </row>
    <row r="160" customFormat="false" ht="15" hidden="false" customHeight="false" outlineLevel="0" collapsed="false">
      <c r="D160" s="3" t="s">
        <v>16</v>
      </c>
      <c r="E160" s="47" t="n">
        <f aca="false">O172</f>
        <v>-3225.94912382748</v>
      </c>
    </row>
    <row r="161" customFormat="false" ht="15" hidden="false" customHeight="false" outlineLevel="0" collapsed="false">
      <c r="D161" s="3" t="s">
        <v>8</v>
      </c>
      <c r="E161" s="48" t="n">
        <f aca="false">P172</f>
        <v>-0.000411203777691488</v>
      </c>
    </row>
    <row r="162" customFormat="false" ht="15" hidden="false" customHeight="false" outlineLevel="0" collapsed="false">
      <c r="D162" s="3" t="s">
        <v>122</v>
      </c>
      <c r="E162" s="49" t="n">
        <f aca="false">I172</f>
        <v>0</v>
      </c>
    </row>
    <row r="163" customFormat="false" ht="15" hidden="false" customHeight="false" outlineLevel="0" collapsed="false">
      <c r="A163" s="31" t="s">
        <v>123</v>
      </c>
    </row>
    <row r="164" customFormat="false" ht="30" hidden="false" customHeight="true" outlineLevel="0" collapsed="false">
      <c r="A164" s="18" t="s">
        <v>71</v>
      </c>
      <c r="B164" s="18" t="s">
        <v>33</v>
      </c>
      <c r="C164" s="18" t="s">
        <v>36</v>
      </c>
      <c r="D164" s="18" t="s">
        <v>60</v>
      </c>
      <c r="E164" s="18" t="s">
        <v>34</v>
      </c>
      <c r="F164" s="18" t="s">
        <v>37</v>
      </c>
      <c r="G164" s="18" t="s">
        <v>61</v>
      </c>
      <c r="H164" s="18" t="s">
        <v>62</v>
      </c>
      <c r="I164" s="18" t="s">
        <v>35</v>
      </c>
      <c r="J164" s="18" t="s">
        <v>38</v>
      </c>
      <c r="K164" s="18" t="s">
        <v>63</v>
      </c>
      <c r="L164" s="18" t="s">
        <v>39</v>
      </c>
      <c r="M164" s="18" t="s">
        <v>64</v>
      </c>
      <c r="N164" s="18" t="s">
        <v>41</v>
      </c>
      <c r="O164" s="18" t="s">
        <v>7</v>
      </c>
      <c r="P164" s="18" t="s">
        <v>8</v>
      </c>
    </row>
    <row r="165" customFormat="false" ht="15" hidden="false" customHeight="false" outlineLevel="0" collapsed="false">
      <c r="A165" s="6" t="s">
        <v>76</v>
      </c>
      <c r="B165" s="33" t="n">
        <v>3500</v>
      </c>
      <c r="C165" s="33" t="n">
        <v>642250</v>
      </c>
      <c r="D165" s="9" t="n">
        <f aca="false">IF($B165=0,"",$C165/$B165)</f>
        <v>183.5</v>
      </c>
      <c r="E165" s="33" t="n">
        <v>3500</v>
      </c>
      <c r="F165" s="6" t="n">
        <v>643387.26</v>
      </c>
      <c r="G165" s="9" t="n">
        <f aca="false">IF($E165=0,"",$F165/$E165)</f>
        <v>183.824931428571</v>
      </c>
      <c r="H165" s="9" t="n">
        <f aca="false">IF(OR($B165=0,$E165=0),"N/A",$G165-$D165)</f>
        <v>0.324931428571432</v>
      </c>
      <c r="I165" s="33" t="n">
        <f aca="false">$B165-$E165</f>
        <v>0</v>
      </c>
      <c r="J165" s="9" t="n">
        <f aca="false">$F165-$C165</f>
        <v>1137.26000000001</v>
      </c>
      <c r="K165" s="6" t="str">
        <f aca="false">IF($E165=0,"—",IF($G165&gt;=Comm_Slab2_Start,"0.0325% of sell value","0.0175 paisa per share"))</f>
        <v>0.0325% of sell value</v>
      </c>
      <c r="L165" s="9" t="n">
        <f aca="false">IF($E165=0,0,IF($G165&gt;=Comm_Slab2_Start,$F165*Comm_Slab2_Rate,$E165*Comm_Slab1_Paisa/Paisa_Per_PKR))</f>
        <v>209.1008595</v>
      </c>
      <c r="M165" s="9" t="n">
        <f aca="false">$L165*SST_Rate</f>
        <v>27.183111735</v>
      </c>
      <c r="N165" s="9" t="n">
        <f aca="false">$L165+$M165</f>
        <v>236.283971235</v>
      </c>
      <c r="O165" s="9" t="n">
        <f aca="false">$J165-$N165</f>
        <v>900.976028765009</v>
      </c>
      <c r="P165" s="10" t="n">
        <f aca="false">IF($C165=0,"N/A",$O165/$C165)</f>
        <v>0.00140284317441029</v>
      </c>
    </row>
    <row r="166" customFormat="false" ht="15" hidden="false" customHeight="false" outlineLevel="0" collapsed="false">
      <c r="A166" s="6" t="s">
        <v>102</v>
      </c>
      <c r="B166" s="33" t="n">
        <v>11000</v>
      </c>
      <c r="C166" s="33" t="n">
        <v>2040890</v>
      </c>
      <c r="D166" s="9" t="n">
        <f aca="false">IF($B166=0,"",$C166/$B166)</f>
        <v>185.535454545455</v>
      </c>
      <c r="E166" s="33" t="n">
        <v>11000</v>
      </c>
      <c r="F166" s="6" t="n">
        <v>2038125</v>
      </c>
      <c r="G166" s="9" t="n">
        <f aca="false">IF($E166=0,"",$F166/$E166)</f>
        <v>185.284090909091</v>
      </c>
      <c r="H166" s="9" t="n">
        <f aca="false">IF(OR($B166=0,$E166=0),"N/A",$G166-$D166)</f>
        <v>-0.251363636363635</v>
      </c>
      <c r="I166" s="33" t="n">
        <f aca="false">$B166-$E166</f>
        <v>0</v>
      </c>
      <c r="J166" s="9" t="n">
        <f aca="false">$F166-$C166</f>
        <v>-2765</v>
      </c>
      <c r="K166" s="6" t="str">
        <f aca="false">IF($E166=0,"—",IF($G166&gt;=Comm_Slab2_Start,"0.0325% of sell value","0.0175 paisa per share"))</f>
        <v>0.0325% of sell value</v>
      </c>
      <c r="L166" s="9" t="n">
        <f aca="false">IF($E166=0,0,IF($G166&gt;=Comm_Slab2_Start,$F166*Comm_Slab2_Rate,$E166*Comm_Slab1_Paisa/Paisa_Per_PKR))</f>
        <v>662.390625</v>
      </c>
      <c r="M166" s="9" t="n">
        <f aca="false">$L166*SST_Rate</f>
        <v>86.11078125</v>
      </c>
      <c r="N166" s="9" t="n">
        <f aca="false">$L166+$M166</f>
        <v>748.50140625</v>
      </c>
      <c r="O166" s="9" t="n">
        <f aca="false">$J166-$N166</f>
        <v>-3513.50140625</v>
      </c>
      <c r="P166" s="10" t="n">
        <f aca="false">IF($C166=0,"N/A",$O166/$C166)</f>
        <v>-0.00172155354097967</v>
      </c>
    </row>
    <row r="167" customFormat="false" ht="15" hidden="false" customHeight="false" outlineLevel="0" collapsed="false">
      <c r="A167" s="6" t="s">
        <v>80</v>
      </c>
      <c r="B167" s="33" t="n">
        <v>2187</v>
      </c>
      <c r="C167" s="33" t="n">
        <v>202544.94</v>
      </c>
      <c r="D167" s="9" t="n">
        <f aca="false">IF($B167=0,"",$C167/$B167)</f>
        <v>92.6131412894376</v>
      </c>
      <c r="E167" s="33" t="n">
        <v>2187</v>
      </c>
      <c r="F167" s="6" t="n">
        <v>202931.73</v>
      </c>
      <c r="G167" s="9" t="n">
        <f aca="false">IF($E167=0,"",$F167/$E167)</f>
        <v>92.79</v>
      </c>
      <c r="H167" s="9" t="n">
        <f aca="false">IF(OR($B167=0,$E167=0),"N/A",$G167-$D167)</f>
        <v>0.176858710562414</v>
      </c>
      <c r="I167" s="33" t="n">
        <f aca="false">$B167-$E167</f>
        <v>0</v>
      </c>
      <c r="J167" s="9" t="n">
        <f aca="false">$F167-$C167</f>
        <v>386.790000000008</v>
      </c>
      <c r="K167" s="6" t="str">
        <f aca="false">IF($E167=0,"—",IF($G167&gt;=Comm_Slab2_Start,"0.0325% of sell value","0.0175 paisa per share"))</f>
        <v>0.0325% of sell value</v>
      </c>
      <c r="L167" s="9" t="n">
        <f aca="false">IF($E167=0,0,IF($G167&gt;=Comm_Slab2_Start,$F167*Comm_Slab2_Rate,$E167*Comm_Slab1_Paisa/Paisa_Per_PKR))</f>
        <v>65.95281225</v>
      </c>
      <c r="M167" s="9" t="n">
        <f aca="false">$L167*SST_Rate</f>
        <v>8.5738655925</v>
      </c>
      <c r="N167" s="9" t="n">
        <f aca="false">$L167+$M167</f>
        <v>74.5266778425</v>
      </c>
      <c r="O167" s="9" t="n">
        <f aca="false">$J167-$N167</f>
        <v>312.263322157508</v>
      </c>
      <c r="P167" s="10" t="n">
        <f aca="false">IF($C167=0,"N/A",$O167/$C167)</f>
        <v>0.00154169895410623</v>
      </c>
    </row>
    <row r="168" customFormat="false" ht="15" hidden="false" customHeight="false" outlineLevel="0" collapsed="false">
      <c r="A168" s="6" t="s">
        <v>75</v>
      </c>
      <c r="B168" s="33" t="n">
        <v>3000</v>
      </c>
      <c r="C168" s="33" t="n">
        <v>642110</v>
      </c>
      <c r="D168" s="9" t="n">
        <f aca="false">IF($B168=0,"",$C168/$B168)</f>
        <v>214.036666666667</v>
      </c>
      <c r="E168" s="33" t="n">
        <v>3000</v>
      </c>
      <c r="F168" s="6" t="n">
        <v>644250</v>
      </c>
      <c r="G168" s="9" t="n">
        <f aca="false">IF($E168=0,"",$F168/$E168)</f>
        <v>214.75</v>
      </c>
      <c r="H168" s="9" t="n">
        <f aca="false">IF(OR($B168=0,$E168=0),"N/A",$G168-$D168)</f>
        <v>0.713333333333338</v>
      </c>
      <c r="I168" s="33" t="n">
        <f aca="false">$B168-$E168</f>
        <v>0</v>
      </c>
      <c r="J168" s="9" t="n">
        <f aca="false">$F168-$C168</f>
        <v>2140</v>
      </c>
      <c r="K168" s="6" t="str">
        <f aca="false">IF($E168=0,"—",IF($G168&gt;=Comm_Slab2_Start,"0.0325% of sell value","0.0175 paisa per share"))</f>
        <v>0.0325% of sell value</v>
      </c>
      <c r="L168" s="9" t="n">
        <f aca="false">IF($E168=0,0,IF($G168&gt;=Comm_Slab2_Start,$F168*Comm_Slab2_Rate,$E168*Comm_Slab1_Paisa/Paisa_Per_PKR))</f>
        <v>209.38125</v>
      </c>
      <c r="M168" s="9" t="n">
        <f aca="false">$L168*SST_Rate</f>
        <v>27.2195625</v>
      </c>
      <c r="N168" s="9" t="n">
        <f aca="false">$L168+$M168</f>
        <v>236.6008125</v>
      </c>
      <c r="O168" s="9" t="n">
        <f aca="false">$J168-$N168</f>
        <v>1903.3991875</v>
      </c>
      <c r="P168" s="10" t="n">
        <f aca="false">IF($C168=0,"N/A",$O168/$C168)</f>
        <v>0.0029642883423401</v>
      </c>
    </row>
    <row r="169" customFormat="false" ht="15" hidden="false" customHeight="false" outlineLevel="0" collapsed="false">
      <c r="A169" s="6" t="s">
        <v>72</v>
      </c>
      <c r="B169" s="33" t="n">
        <v>45000</v>
      </c>
      <c r="C169" s="33" t="n">
        <v>3544840</v>
      </c>
      <c r="D169" s="9" t="n">
        <f aca="false">IF($B169=0,"",$C169/$B169)</f>
        <v>78.7742222222222</v>
      </c>
      <c r="E169" s="33" t="n">
        <v>45000</v>
      </c>
      <c r="F169" s="6" t="n">
        <v>3545515</v>
      </c>
      <c r="G169" s="9" t="n">
        <f aca="false">IF($E169=0,"",$F169/$E169)</f>
        <v>78.7892222222222</v>
      </c>
      <c r="H169" s="9" t="n">
        <f aca="false">IF(OR($B169=0,$E169=0),"N/A",$G169-$D169)</f>
        <v>0.0150000000000006</v>
      </c>
      <c r="I169" s="33" t="n">
        <f aca="false">$B169-$E169</f>
        <v>0</v>
      </c>
      <c r="J169" s="9" t="n">
        <f aca="false">$F169-$C169</f>
        <v>675</v>
      </c>
      <c r="K169" s="6" t="str">
        <f aca="false">IF($E169=0,"—",IF($G169&gt;=Comm_Slab2_Start,"0.0325% of sell value","0.0175 paisa per share"))</f>
        <v>0.0325% of sell value</v>
      </c>
      <c r="L169" s="9" t="n">
        <f aca="false">IF($E169=0,0,IF($G169&gt;=Comm_Slab2_Start,$F169*Comm_Slab2_Rate,$E169*Comm_Slab1_Paisa/Paisa_Per_PKR))</f>
        <v>1152.292375</v>
      </c>
      <c r="M169" s="9" t="n">
        <f aca="false">$L169*SST_Rate</f>
        <v>149.79800875</v>
      </c>
      <c r="N169" s="9" t="n">
        <f aca="false">$L169+$M169</f>
        <v>1302.09038375</v>
      </c>
      <c r="O169" s="9" t="n">
        <f aca="false">$J169-$N169</f>
        <v>-627.09038375</v>
      </c>
      <c r="P169" s="10" t="n">
        <f aca="false">IF($C169=0,"N/A",$O169/$C169)</f>
        <v>-0.000176902309765744</v>
      </c>
    </row>
    <row r="170" customFormat="false" ht="15" hidden="false" customHeight="false" outlineLevel="0" collapsed="false">
      <c r="A170" s="6" t="s">
        <v>101</v>
      </c>
      <c r="B170" s="33" t="n">
        <v>5000</v>
      </c>
      <c r="C170" s="33" t="n">
        <v>385000</v>
      </c>
      <c r="D170" s="9" t="n">
        <f aca="false">IF($B170=0,"",$C170/$B170)</f>
        <v>77</v>
      </c>
      <c r="E170" s="33" t="n">
        <v>5000</v>
      </c>
      <c r="F170" s="6" t="n">
        <v>383051</v>
      </c>
      <c r="G170" s="9" t="n">
        <f aca="false">IF($E170=0,"",$F170/$E170)</f>
        <v>76.6102</v>
      </c>
      <c r="H170" s="9" t="n">
        <f aca="false">IF(OR($B170=0,$E170=0),"N/A",$G170-$D170)</f>
        <v>-0.389799999999994</v>
      </c>
      <c r="I170" s="33" t="n">
        <f aca="false">$B170-$E170</f>
        <v>0</v>
      </c>
      <c r="J170" s="9" t="n">
        <f aca="false">$F170-$C170</f>
        <v>-1949</v>
      </c>
      <c r="K170" s="6" t="str">
        <f aca="false">IF($E170=0,"—",IF($G170&gt;=Comm_Slab2_Start,"0.0325% of sell value","0.0175 paisa per share"))</f>
        <v>0.0325% of sell value</v>
      </c>
      <c r="L170" s="9" t="n">
        <f aca="false">IF($E170=0,0,IF($G170&gt;=Comm_Slab2_Start,$F170*Comm_Slab2_Rate,$E170*Comm_Slab1_Paisa/Paisa_Per_PKR))</f>
        <v>124.491575</v>
      </c>
      <c r="M170" s="9" t="n">
        <f aca="false">$L170*SST_Rate</f>
        <v>16.18390475</v>
      </c>
      <c r="N170" s="9" t="n">
        <f aca="false">$L170+$M170</f>
        <v>140.67547975</v>
      </c>
      <c r="O170" s="9" t="n">
        <f aca="false">$J170-$N170</f>
        <v>-2089.67547975</v>
      </c>
      <c r="P170" s="10" t="n">
        <f aca="false">IF($C170=0,"N/A",$O170/$C170)</f>
        <v>-0.00542772851883117</v>
      </c>
    </row>
    <row r="171" customFormat="false" ht="15" hidden="false" customHeight="false" outlineLevel="0" collapsed="false">
      <c r="A171" s="6" t="s">
        <v>87</v>
      </c>
      <c r="B171" s="33" t="n">
        <v>5000</v>
      </c>
      <c r="C171" s="33" t="n">
        <v>387500</v>
      </c>
      <c r="D171" s="9" t="n">
        <f aca="false">IF($B171=0,"",$C171/$B171)</f>
        <v>77.5</v>
      </c>
      <c r="E171" s="33" t="n">
        <v>5000</v>
      </c>
      <c r="F171" s="6" t="n">
        <v>387530</v>
      </c>
      <c r="G171" s="9" t="n">
        <f aca="false">IF($E171=0,"",$F171/$E171)</f>
        <v>77.506</v>
      </c>
      <c r="H171" s="9" t="n">
        <f aca="false">IF(OR($B171=0,$E171=0),"N/A",$G171-$D171)</f>
        <v>0.00600000000000023</v>
      </c>
      <c r="I171" s="33" t="n">
        <f aca="false">$B171-$E171</f>
        <v>0</v>
      </c>
      <c r="J171" s="9" t="n">
        <f aca="false">$F171-$C171</f>
        <v>30</v>
      </c>
      <c r="K171" s="6" t="str">
        <f aca="false">IF($E171=0,"—",IF($G171&gt;=Comm_Slab2_Start,"0.0325% of sell value","0.0175 paisa per share"))</f>
        <v>0.0325% of sell value</v>
      </c>
      <c r="L171" s="9" t="n">
        <f aca="false">IF($E171=0,0,IF($G171&gt;=Comm_Slab2_Start,$F171*Comm_Slab2_Rate,$E171*Comm_Slab1_Paisa/Paisa_Per_PKR))</f>
        <v>125.94725</v>
      </c>
      <c r="M171" s="9" t="n">
        <f aca="false">$L171*SST_Rate</f>
        <v>16.3731425</v>
      </c>
      <c r="N171" s="9" t="n">
        <f aca="false">$L171+$M171</f>
        <v>142.3203925</v>
      </c>
      <c r="O171" s="9" t="n">
        <f aca="false">$J171-$N171</f>
        <v>-112.3203925</v>
      </c>
      <c r="P171" s="10" t="n">
        <f aca="false">IF($C171=0,"N/A",$O171/$C171)</f>
        <v>-0.000289859077419355</v>
      </c>
    </row>
    <row r="172" customFormat="false" ht="15" hidden="false" customHeight="false" outlineLevel="0" collapsed="false">
      <c r="A172" s="29" t="s">
        <v>42</v>
      </c>
      <c r="B172" s="50" t="n">
        <f aca="false">SUM(B165:B171)</f>
        <v>74687</v>
      </c>
      <c r="C172" s="50" t="n">
        <f aca="false">SUM(C165:C171)</f>
        <v>7845134.94</v>
      </c>
      <c r="D172" s="51" t="n">
        <f aca="false">IF($B172=0,"",$C172/$B172)</f>
        <v>105.040166829569</v>
      </c>
      <c r="E172" s="50" t="n">
        <f aca="false">SUM(E165:E171)</f>
        <v>74687</v>
      </c>
      <c r="F172" s="29" t="n">
        <f aca="false">SUM(F165:F171)</f>
        <v>7844789.99</v>
      </c>
      <c r="G172" s="51" t="n">
        <f aca="false">IF($E172=0,"",$F172/$E172)</f>
        <v>105.035548221243</v>
      </c>
      <c r="H172" s="51" t="n">
        <f aca="false">IF(OR($B172=0,$E172=0),"N/A",$G172-$D172)</f>
        <v>-0.0046186083254014</v>
      </c>
      <c r="I172" s="50" t="n">
        <f aca="false">$B172-$E172</f>
        <v>0</v>
      </c>
      <c r="J172" s="51" t="n">
        <f aca="false">SUM(J165:J171)</f>
        <v>-344.949999999983</v>
      </c>
      <c r="K172" s="29"/>
      <c r="L172" s="51" t="n">
        <f aca="false">SUM(L165:L171)</f>
        <v>2549.55674675</v>
      </c>
      <c r="M172" s="51" t="n">
        <f aca="false">SUM(M165:M171)</f>
        <v>331.4423770775</v>
      </c>
      <c r="N172" s="51" t="n">
        <f aca="false">$L172+$M172</f>
        <v>2880.9991238275</v>
      </c>
      <c r="O172" s="51" t="n">
        <f aca="false">SUM(O165:O171)</f>
        <v>-3225.94912382748</v>
      </c>
      <c r="P172" s="52" t="n">
        <f aca="false">IF($C172=0,"N/A",$O172/$C172)</f>
        <v>-0.000411203777691488</v>
      </c>
    </row>
    <row r="175" customFormat="false" ht="19.7" hidden="false" customHeight="false" outlineLevel="0" collapsed="false">
      <c r="A175" s="1" t="s">
        <v>142</v>
      </c>
    </row>
    <row r="176" customFormat="false" ht="15" hidden="false" customHeight="false" outlineLevel="0" collapsed="false">
      <c r="A176" s="2" t="s">
        <v>106</v>
      </c>
      <c r="D176" s="31" t="s">
        <v>107</v>
      </c>
    </row>
    <row r="177" customFormat="false" ht="15" hidden="false" customHeight="false" outlineLevel="0" collapsed="false">
      <c r="A177" s="3" t="s">
        <v>108</v>
      </c>
      <c r="B177" s="27" t="n">
        <v>46279</v>
      </c>
      <c r="D177" s="3" t="s">
        <v>109</v>
      </c>
      <c r="E177" s="47" t="n">
        <f aca="false">C189</f>
        <v>536000</v>
      </c>
    </row>
    <row r="178" customFormat="false" ht="15" hidden="false" customHeight="false" outlineLevel="0" collapsed="false">
      <c r="A178" s="3" t="s">
        <v>110</v>
      </c>
      <c r="B178" s="28" t="s">
        <v>111</v>
      </c>
      <c r="D178" s="3" t="s">
        <v>112</v>
      </c>
      <c r="E178" s="47" t="n">
        <f aca="false">F189</f>
        <v>536990</v>
      </c>
    </row>
    <row r="179" customFormat="false" ht="15" hidden="false" customHeight="false" outlineLevel="0" collapsed="false">
      <c r="A179" s="3" t="s">
        <v>113</v>
      </c>
      <c r="B179" s="28" t="s">
        <v>130</v>
      </c>
      <c r="D179" s="3" t="s">
        <v>11</v>
      </c>
      <c r="E179" s="47" t="n">
        <f aca="false">J189</f>
        <v>990</v>
      </c>
    </row>
    <row r="180" customFormat="false" ht="15" hidden="false" customHeight="false" outlineLevel="0" collapsed="false">
      <c r="A180" s="3" t="s">
        <v>115</v>
      </c>
      <c r="B180" s="28" t="s">
        <v>116</v>
      </c>
      <c r="D180" s="3" t="s">
        <v>13</v>
      </c>
      <c r="E180" s="47" t="n">
        <f aca="false">L189</f>
        <v>174.52175</v>
      </c>
    </row>
    <row r="181" customFormat="false" ht="15" hidden="false" customHeight="false" outlineLevel="0" collapsed="false">
      <c r="A181" s="3" t="s">
        <v>117</v>
      </c>
      <c r="B181" s="28" t="s">
        <v>118</v>
      </c>
      <c r="D181" s="3" t="s">
        <v>15</v>
      </c>
      <c r="E181" s="47" t="n">
        <f aca="false">M189</f>
        <v>22.6878275</v>
      </c>
    </row>
    <row r="182" customFormat="false" ht="15" hidden="false" customHeight="false" outlineLevel="0" collapsed="false">
      <c r="A182" s="3" t="s">
        <v>119</v>
      </c>
      <c r="B182" s="28" t="s">
        <v>143</v>
      </c>
      <c r="D182" s="3" t="s">
        <v>121</v>
      </c>
      <c r="E182" s="47" t="n">
        <f aca="false">N189</f>
        <v>197.2095775</v>
      </c>
    </row>
    <row r="183" customFormat="false" ht="15" hidden="false" customHeight="false" outlineLevel="0" collapsed="false">
      <c r="D183" s="3" t="s">
        <v>16</v>
      </c>
      <c r="E183" s="47" t="n">
        <f aca="false">O189</f>
        <v>792.7904225</v>
      </c>
    </row>
    <row r="184" customFormat="false" ht="15" hidden="false" customHeight="false" outlineLevel="0" collapsed="false">
      <c r="D184" s="3" t="s">
        <v>8</v>
      </c>
      <c r="E184" s="48" t="n">
        <f aca="false">P189</f>
        <v>0.00147908660914179</v>
      </c>
    </row>
    <row r="185" customFormat="false" ht="15" hidden="false" customHeight="false" outlineLevel="0" collapsed="false">
      <c r="D185" s="3" t="s">
        <v>122</v>
      </c>
      <c r="E185" s="49" t="n">
        <f aca="false">I189</f>
        <v>0</v>
      </c>
    </row>
    <row r="186" customFormat="false" ht="15" hidden="false" customHeight="false" outlineLevel="0" collapsed="false">
      <c r="A186" s="31" t="s">
        <v>123</v>
      </c>
    </row>
    <row r="187" customFormat="false" ht="30" hidden="false" customHeight="true" outlineLevel="0" collapsed="false">
      <c r="A187" s="18" t="s">
        <v>71</v>
      </c>
      <c r="B187" s="18" t="s">
        <v>33</v>
      </c>
      <c r="C187" s="18" t="s">
        <v>36</v>
      </c>
      <c r="D187" s="18" t="s">
        <v>60</v>
      </c>
      <c r="E187" s="18" t="s">
        <v>34</v>
      </c>
      <c r="F187" s="18" t="s">
        <v>37</v>
      </c>
      <c r="G187" s="18" t="s">
        <v>61</v>
      </c>
      <c r="H187" s="18" t="s">
        <v>62</v>
      </c>
      <c r="I187" s="18" t="s">
        <v>35</v>
      </c>
      <c r="J187" s="18" t="s">
        <v>38</v>
      </c>
      <c r="K187" s="18" t="s">
        <v>63</v>
      </c>
      <c r="L187" s="18" t="s">
        <v>39</v>
      </c>
      <c r="M187" s="18" t="s">
        <v>64</v>
      </c>
      <c r="N187" s="18" t="s">
        <v>41</v>
      </c>
      <c r="O187" s="18" t="s">
        <v>7</v>
      </c>
      <c r="P187" s="18" t="s">
        <v>8</v>
      </c>
    </row>
    <row r="188" customFormat="false" ht="15" hidden="false" customHeight="false" outlineLevel="0" collapsed="false">
      <c r="A188" s="6" t="s">
        <v>74</v>
      </c>
      <c r="B188" s="33" t="n">
        <v>1000</v>
      </c>
      <c r="C188" s="33" t="n">
        <v>536000</v>
      </c>
      <c r="D188" s="9" t="n">
        <f aca="false">IF($B188=0,"",$C188/$B188)</f>
        <v>536</v>
      </c>
      <c r="E188" s="33" t="n">
        <v>1000</v>
      </c>
      <c r="F188" s="6" t="n">
        <v>536990</v>
      </c>
      <c r="G188" s="9" t="n">
        <f aca="false">IF($E188=0,"",$F188/$E188)</f>
        <v>536.99</v>
      </c>
      <c r="H188" s="9" t="n">
        <f aca="false">IF(OR($B188=0,$E188=0),"N/A",$G188-$D188)</f>
        <v>0.990000000000009</v>
      </c>
      <c r="I188" s="33" t="n">
        <f aca="false">$B188-$E188</f>
        <v>0</v>
      </c>
      <c r="J188" s="9" t="n">
        <f aca="false">$F188-$C188</f>
        <v>990</v>
      </c>
      <c r="K188" s="6" t="str">
        <f aca="false">IF($E188=0,"—",IF($G188&gt;=Comm_Slab2_Start,"0.0325% of sell value","0.0175 paisa per share"))</f>
        <v>0.0325% of sell value</v>
      </c>
      <c r="L188" s="9" t="n">
        <f aca="false">IF($E188=0,0,IF($G188&gt;=Comm_Slab2_Start,$F188*Comm_Slab2_Rate,$E188*Comm_Slab1_Paisa/Paisa_Per_PKR))</f>
        <v>174.52175</v>
      </c>
      <c r="M188" s="9" t="n">
        <f aca="false">$L188*SST_Rate</f>
        <v>22.6878275</v>
      </c>
      <c r="N188" s="9" t="n">
        <f aca="false">$L188+$M188</f>
        <v>197.2095775</v>
      </c>
      <c r="O188" s="9" t="n">
        <f aca="false">$J188-$N188</f>
        <v>792.7904225</v>
      </c>
      <c r="P188" s="10" t="n">
        <f aca="false">IF($C188=0,"N/A",$O188/$C188)</f>
        <v>0.00147908660914179</v>
      </c>
    </row>
    <row r="189" customFormat="false" ht="15" hidden="false" customHeight="false" outlineLevel="0" collapsed="false">
      <c r="A189" s="29" t="s">
        <v>42</v>
      </c>
      <c r="B189" s="50" t="n">
        <f aca="false">SUM(B188)</f>
        <v>1000</v>
      </c>
      <c r="C189" s="50" t="n">
        <f aca="false">SUM(C188)</f>
        <v>536000</v>
      </c>
      <c r="D189" s="51" t="n">
        <f aca="false">IF($B189=0,"",$C189/$B189)</f>
        <v>536</v>
      </c>
      <c r="E189" s="50" t="n">
        <f aca="false">SUM(E188)</f>
        <v>1000</v>
      </c>
      <c r="F189" s="29" t="n">
        <f aca="false">SUM(F188)</f>
        <v>536990</v>
      </c>
      <c r="G189" s="51" t="n">
        <f aca="false">IF($E189=0,"",$F189/$E189)</f>
        <v>536.99</v>
      </c>
      <c r="H189" s="51" t="n">
        <f aca="false">IF(OR($B189=0,$E189=0),"N/A",$G189-$D189)</f>
        <v>0.990000000000009</v>
      </c>
      <c r="I189" s="50" t="n">
        <f aca="false">$B189-$E189</f>
        <v>0</v>
      </c>
      <c r="J189" s="51" t="n">
        <f aca="false">SUM(J188)</f>
        <v>990</v>
      </c>
      <c r="K189" s="29"/>
      <c r="L189" s="51" t="n">
        <f aca="false">SUM(L188)</f>
        <v>174.52175</v>
      </c>
      <c r="M189" s="51" t="n">
        <f aca="false">SUM(M188)</f>
        <v>22.6878275</v>
      </c>
      <c r="N189" s="51" t="n">
        <f aca="false">$L189+$M189</f>
        <v>197.2095775</v>
      </c>
      <c r="O189" s="51" t="n">
        <f aca="false">SUM(O188)</f>
        <v>792.7904225</v>
      </c>
      <c r="P189" s="52" t="n">
        <f aca="false">IF($C189=0,"N/A",$O189/$C189)</f>
        <v>0.00147908660914179</v>
      </c>
    </row>
    <row r="192" customFormat="false" ht="19.7" hidden="false" customHeight="false" outlineLevel="0" collapsed="false">
      <c r="A192" s="1" t="s">
        <v>144</v>
      </c>
    </row>
    <row r="193" customFormat="false" ht="15" hidden="false" customHeight="false" outlineLevel="0" collapsed="false">
      <c r="A193" s="2" t="s">
        <v>106</v>
      </c>
      <c r="D193" s="31" t="s">
        <v>107</v>
      </c>
    </row>
    <row r="194" customFormat="false" ht="15" hidden="false" customHeight="false" outlineLevel="0" collapsed="false">
      <c r="A194" s="3" t="s">
        <v>108</v>
      </c>
      <c r="B194" s="27" t="n">
        <v>46280</v>
      </c>
      <c r="D194" s="3" t="s">
        <v>109</v>
      </c>
      <c r="E194" s="47" t="n">
        <f aca="false">C210</f>
        <v>2198053.98</v>
      </c>
    </row>
    <row r="195" customFormat="false" ht="15" hidden="false" customHeight="false" outlineLevel="0" collapsed="false">
      <c r="A195" s="3" t="s">
        <v>110</v>
      </c>
      <c r="B195" s="28" t="s">
        <v>111</v>
      </c>
      <c r="D195" s="3" t="s">
        <v>112</v>
      </c>
      <c r="E195" s="47" t="n">
        <f aca="false">F210</f>
        <v>2201882.45</v>
      </c>
    </row>
    <row r="196" customFormat="false" ht="15" hidden="false" customHeight="false" outlineLevel="0" collapsed="false">
      <c r="A196" s="3" t="s">
        <v>113</v>
      </c>
      <c r="B196" s="28" t="s">
        <v>125</v>
      </c>
      <c r="D196" s="3" t="s">
        <v>11</v>
      </c>
      <c r="E196" s="47" t="n">
        <f aca="false">J210</f>
        <v>3828.47</v>
      </c>
    </row>
    <row r="197" customFormat="false" ht="15" hidden="false" customHeight="false" outlineLevel="0" collapsed="false">
      <c r="A197" s="3" t="s">
        <v>115</v>
      </c>
      <c r="B197" s="28" t="s">
        <v>116</v>
      </c>
      <c r="D197" s="3" t="s">
        <v>13</v>
      </c>
      <c r="E197" s="47" t="n">
        <f aca="false">L210</f>
        <v>715.61179625</v>
      </c>
    </row>
    <row r="198" customFormat="false" ht="15" hidden="false" customHeight="false" outlineLevel="0" collapsed="false">
      <c r="A198" s="3" t="s">
        <v>117</v>
      </c>
      <c r="B198" s="28" t="s">
        <v>118</v>
      </c>
      <c r="D198" s="3" t="s">
        <v>15</v>
      </c>
      <c r="E198" s="47" t="n">
        <f aca="false">M210</f>
        <v>93.0295335125</v>
      </c>
    </row>
    <row r="199" customFormat="false" ht="15" hidden="false" customHeight="false" outlineLevel="0" collapsed="false">
      <c r="A199" s="3" t="s">
        <v>119</v>
      </c>
      <c r="B199" s="28" t="s">
        <v>145</v>
      </c>
      <c r="D199" s="3" t="s">
        <v>121</v>
      </c>
      <c r="E199" s="47" t="n">
        <f aca="false">N210</f>
        <v>808.6413297625</v>
      </c>
    </row>
    <row r="200" customFormat="false" ht="15" hidden="false" customHeight="false" outlineLevel="0" collapsed="false">
      <c r="D200" s="3" t="s">
        <v>16</v>
      </c>
      <c r="E200" s="47" t="n">
        <f aca="false">O210</f>
        <v>3019.8286702375</v>
      </c>
    </row>
    <row r="201" customFormat="false" ht="15" hidden="false" customHeight="false" outlineLevel="0" collapsed="false">
      <c r="D201" s="3" t="s">
        <v>8</v>
      </c>
      <c r="E201" s="48" t="n">
        <f aca="false">P210</f>
        <v>0.00137386465378684</v>
      </c>
    </row>
    <row r="202" customFormat="false" ht="15" hidden="false" customHeight="false" outlineLevel="0" collapsed="false">
      <c r="D202" s="3" t="s">
        <v>122</v>
      </c>
      <c r="E202" s="49" t="n">
        <f aca="false">I210</f>
        <v>0</v>
      </c>
    </row>
    <row r="203" customFormat="false" ht="15" hidden="false" customHeight="false" outlineLevel="0" collapsed="false">
      <c r="A203" s="31" t="s">
        <v>123</v>
      </c>
    </row>
    <row r="204" customFormat="false" ht="30" hidden="false" customHeight="true" outlineLevel="0" collapsed="false">
      <c r="A204" s="18" t="s">
        <v>71</v>
      </c>
      <c r="B204" s="18" t="s">
        <v>33</v>
      </c>
      <c r="C204" s="18" t="s">
        <v>36</v>
      </c>
      <c r="D204" s="18" t="s">
        <v>60</v>
      </c>
      <c r="E204" s="18" t="s">
        <v>34</v>
      </c>
      <c r="F204" s="18" t="s">
        <v>37</v>
      </c>
      <c r="G204" s="18" t="s">
        <v>61</v>
      </c>
      <c r="H204" s="18" t="s">
        <v>62</v>
      </c>
      <c r="I204" s="18" t="s">
        <v>35</v>
      </c>
      <c r="J204" s="18" t="s">
        <v>38</v>
      </c>
      <c r="K204" s="18" t="s">
        <v>63</v>
      </c>
      <c r="L204" s="18" t="s">
        <v>39</v>
      </c>
      <c r="M204" s="18" t="s">
        <v>64</v>
      </c>
      <c r="N204" s="18" t="s">
        <v>41</v>
      </c>
      <c r="O204" s="18" t="s">
        <v>7</v>
      </c>
      <c r="P204" s="18" t="s">
        <v>8</v>
      </c>
    </row>
    <row r="205" customFormat="false" ht="15" hidden="false" customHeight="false" outlineLevel="0" collapsed="false">
      <c r="A205" s="6" t="s">
        <v>76</v>
      </c>
      <c r="B205" s="33" t="n">
        <v>2500</v>
      </c>
      <c r="C205" s="33" t="n">
        <v>483790</v>
      </c>
      <c r="D205" s="9" t="n">
        <f aca="false">IF($B205=0,"",$C205/$B205)</f>
        <v>193.516</v>
      </c>
      <c r="E205" s="33" t="n">
        <v>2500</v>
      </c>
      <c r="F205" s="6" t="n">
        <v>486125</v>
      </c>
      <c r="G205" s="9" t="n">
        <f aca="false">IF($E205=0,"",$F205/$E205)</f>
        <v>194.45</v>
      </c>
      <c r="H205" s="9" t="n">
        <f aca="false">IF(OR($B205=0,$E205=0),"N/A",$G205-$D205)</f>
        <v>0.933999999999998</v>
      </c>
      <c r="I205" s="33" t="n">
        <f aca="false">$B205-$E205</f>
        <v>0</v>
      </c>
      <c r="J205" s="9" t="n">
        <f aca="false">$F205-$C205</f>
        <v>2335</v>
      </c>
      <c r="K205" s="6" t="str">
        <f aca="false">IF($E205=0,"—",IF($G205&gt;=Comm_Slab2_Start,"0.0325% of sell value","0.0175 paisa per share"))</f>
        <v>0.0325% of sell value</v>
      </c>
      <c r="L205" s="9" t="n">
        <f aca="false">IF($E205=0,0,IF($G205&gt;=Comm_Slab2_Start,$F205*Comm_Slab2_Rate,$E205*Comm_Slab1_Paisa/Paisa_Per_PKR))</f>
        <v>157.990625</v>
      </c>
      <c r="M205" s="9" t="n">
        <f aca="false">$L205*SST_Rate</f>
        <v>20.53878125</v>
      </c>
      <c r="N205" s="9" t="n">
        <f aca="false">$L205+$M205</f>
        <v>178.52940625</v>
      </c>
      <c r="O205" s="9" t="n">
        <f aca="false">$J205-$N205</f>
        <v>2156.47059375</v>
      </c>
      <c r="P205" s="10" t="n">
        <f aca="false">IF($C205=0,"N/A",$O205/$C205)</f>
        <v>0.00445745177401352</v>
      </c>
    </row>
    <row r="206" customFormat="false" ht="15" hidden="false" customHeight="false" outlineLevel="0" collapsed="false">
      <c r="A206" s="6" t="s">
        <v>80</v>
      </c>
      <c r="B206" s="33" t="n">
        <v>2687</v>
      </c>
      <c r="C206" s="33" t="n">
        <v>251231.38</v>
      </c>
      <c r="D206" s="9" t="n">
        <f aca="false">IF($B206=0,"",$C206/$B206)</f>
        <v>93.4988388537402</v>
      </c>
      <c r="E206" s="33" t="n">
        <v>2687</v>
      </c>
      <c r="F206" s="6" t="n">
        <v>251234.5</v>
      </c>
      <c r="G206" s="9" t="n">
        <f aca="false">IF($E206=0,"",$F206/$E206)</f>
        <v>93.5</v>
      </c>
      <c r="H206" s="9" t="n">
        <f aca="false">IF(OR($B206=0,$E206=0),"N/A",$G206-$D206)</f>
        <v>0.00116114625976138</v>
      </c>
      <c r="I206" s="33" t="n">
        <f aca="false">$B206-$E206</f>
        <v>0</v>
      </c>
      <c r="J206" s="9" t="n">
        <f aca="false">$F206-$C206</f>
        <v>3.11999999999534</v>
      </c>
      <c r="K206" s="6" t="str">
        <f aca="false">IF($E206=0,"—",IF($G206&gt;=Comm_Slab2_Start,"0.0325% of sell value","0.0175 paisa per share"))</f>
        <v>0.0325% of sell value</v>
      </c>
      <c r="L206" s="9" t="n">
        <f aca="false">IF($E206=0,0,IF($G206&gt;=Comm_Slab2_Start,$F206*Comm_Slab2_Rate,$E206*Comm_Slab1_Paisa/Paisa_Per_PKR))</f>
        <v>81.6512125</v>
      </c>
      <c r="M206" s="9" t="n">
        <f aca="false">$L206*SST_Rate</f>
        <v>10.614657625</v>
      </c>
      <c r="N206" s="9" t="n">
        <f aca="false">$L206+$M206</f>
        <v>92.265870125</v>
      </c>
      <c r="O206" s="9" t="n">
        <f aca="false">$J206-$N206</f>
        <v>-89.1458701250047</v>
      </c>
      <c r="P206" s="10" t="n">
        <f aca="false">IF($C206=0,"N/A",$O206/$C206)</f>
        <v>-0.000354835730015115</v>
      </c>
    </row>
    <row r="207" customFormat="false" ht="15" hidden="false" customHeight="false" outlineLevel="0" collapsed="false">
      <c r="A207" s="6" t="s">
        <v>74</v>
      </c>
      <c r="B207" s="33" t="n">
        <v>1000</v>
      </c>
      <c r="C207" s="33" t="n">
        <v>538760</v>
      </c>
      <c r="D207" s="9" t="n">
        <f aca="false">IF($B207=0,"",$C207/$B207)</f>
        <v>538.76</v>
      </c>
      <c r="E207" s="33" t="n">
        <v>1000</v>
      </c>
      <c r="F207" s="6" t="n">
        <v>541000</v>
      </c>
      <c r="G207" s="9" t="n">
        <f aca="false">IF($E207=0,"",$F207/$E207)</f>
        <v>541</v>
      </c>
      <c r="H207" s="9" t="n">
        <f aca="false">IF(OR($B207=0,$E207=0),"N/A",$G207-$D207)</f>
        <v>2.24000000000001</v>
      </c>
      <c r="I207" s="33" t="n">
        <f aca="false">$B207-$E207</f>
        <v>0</v>
      </c>
      <c r="J207" s="9" t="n">
        <f aca="false">$F207-$C207</f>
        <v>2240</v>
      </c>
      <c r="K207" s="6" t="str">
        <f aca="false">IF($E207=0,"—",IF($G207&gt;=Comm_Slab2_Start,"0.0325% of sell value","0.0175 paisa per share"))</f>
        <v>0.0325% of sell value</v>
      </c>
      <c r="L207" s="9" t="n">
        <f aca="false">IF($E207=0,0,IF($G207&gt;=Comm_Slab2_Start,$F207*Comm_Slab2_Rate,$E207*Comm_Slab1_Paisa/Paisa_Per_PKR))</f>
        <v>175.825</v>
      </c>
      <c r="M207" s="9" t="n">
        <f aca="false">$L207*SST_Rate</f>
        <v>22.85725</v>
      </c>
      <c r="N207" s="9" t="n">
        <f aca="false">$L207+$M207</f>
        <v>198.68225</v>
      </c>
      <c r="O207" s="9" t="n">
        <f aca="false">$J207-$N207</f>
        <v>2041.31775</v>
      </c>
      <c r="P207" s="10" t="n">
        <f aca="false">IF($C207=0,"N/A",$O207/$C207)</f>
        <v>0.0037889185351548</v>
      </c>
    </row>
    <row r="208" customFormat="false" ht="15" hidden="false" customHeight="false" outlineLevel="0" collapsed="false">
      <c r="A208" s="6" t="s">
        <v>89</v>
      </c>
      <c r="B208" s="33" t="n">
        <v>1</v>
      </c>
      <c r="C208" s="33" t="n">
        <v>222.6</v>
      </c>
      <c r="D208" s="9" t="n">
        <f aca="false">IF($B208=0,"",$C208/$B208)</f>
        <v>222.6</v>
      </c>
      <c r="E208" s="33" t="n">
        <v>1</v>
      </c>
      <c r="F208" s="6" t="n">
        <v>222.95</v>
      </c>
      <c r="G208" s="9" t="n">
        <f aca="false">IF($E208=0,"",$F208/$E208)</f>
        <v>222.95</v>
      </c>
      <c r="H208" s="9" t="n">
        <f aca="false">IF(OR($B208=0,$E208=0),"N/A",$G208-$D208)</f>
        <v>0.349999999999994</v>
      </c>
      <c r="I208" s="33" t="n">
        <f aca="false">$B208-$E208</f>
        <v>0</v>
      </c>
      <c r="J208" s="9" t="n">
        <f aca="false">$F208-$C208</f>
        <v>0.349999999999994</v>
      </c>
      <c r="K208" s="6" t="str">
        <f aca="false">IF($E208=0,"—",IF($G208&gt;=Comm_Slab2_Start,"0.0325% of sell value","0.0175 paisa per share"))</f>
        <v>0.0325% of sell value</v>
      </c>
      <c r="L208" s="9" t="n">
        <f aca="false">IF($E208=0,0,IF($G208&gt;=Comm_Slab2_Start,$F208*Comm_Slab2_Rate,$E208*Comm_Slab1_Paisa/Paisa_Per_PKR))</f>
        <v>0.07245875</v>
      </c>
      <c r="M208" s="9" t="n">
        <f aca="false">$L208*SST_Rate</f>
        <v>0.0094196375</v>
      </c>
      <c r="N208" s="9" t="n">
        <f aca="false">$L208+$M208</f>
        <v>0.0818783875</v>
      </c>
      <c r="O208" s="9" t="n">
        <f aca="false">$J208-$N208</f>
        <v>0.268121612499994</v>
      </c>
      <c r="P208" s="10" t="n">
        <f aca="false">IF($C208=0,"N/A",$O208/$C208)</f>
        <v>0.00120449960691821</v>
      </c>
    </row>
    <row r="209" customFormat="false" ht="15" hidden="false" customHeight="false" outlineLevel="0" collapsed="false">
      <c r="A209" s="6" t="s">
        <v>72</v>
      </c>
      <c r="B209" s="33" t="n">
        <v>10500</v>
      </c>
      <c r="C209" s="33" t="n">
        <v>924050</v>
      </c>
      <c r="D209" s="9" t="n">
        <f aca="false">IF($B209=0,"",$C209/$B209)</f>
        <v>88.0047619047619</v>
      </c>
      <c r="E209" s="33" t="n">
        <v>10500</v>
      </c>
      <c r="F209" s="6" t="n">
        <v>923300</v>
      </c>
      <c r="G209" s="9" t="n">
        <f aca="false">IF($E209=0,"",$F209/$E209)</f>
        <v>87.9333333333333</v>
      </c>
      <c r="H209" s="9" t="n">
        <f aca="false">IF(OR($B209=0,$E209=0),"N/A",$G209-$D209)</f>
        <v>-0.0714285714285694</v>
      </c>
      <c r="I209" s="33" t="n">
        <f aca="false">$B209-$E209</f>
        <v>0</v>
      </c>
      <c r="J209" s="9" t="n">
        <f aca="false">$F209-$C209</f>
        <v>-750</v>
      </c>
      <c r="K209" s="6" t="str">
        <f aca="false">IF($E209=0,"—",IF($G209&gt;=Comm_Slab2_Start,"0.0325% of sell value","0.0175 paisa per share"))</f>
        <v>0.0325% of sell value</v>
      </c>
      <c r="L209" s="9" t="n">
        <f aca="false">IF($E209=0,0,IF($G209&gt;=Comm_Slab2_Start,$F209*Comm_Slab2_Rate,$E209*Comm_Slab1_Paisa/Paisa_Per_PKR))</f>
        <v>300.0725</v>
      </c>
      <c r="M209" s="9" t="n">
        <f aca="false">$L209*SST_Rate</f>
        <v>39.009425</v>
      </c>
      <c r="N209" s="9" t="n">
        <f aca="false">$L209+$M209</f>
        <v>339.081925</v>
      </c>
      <c r="O209" s="9" t="n">
        <f aca="false">$J209-$N209</f>
        <v>-1089.081925</v>
      </c>
      <c r="P209" s="10" t="n">
        <f aca="false">IF($C209=0,"N/A",$O209/$C209)</f>
        <v>-0.00117859631513446</v>
      </c>
    </row>
    <row r="210" customFormat="false" ht="15" hidden="false" customHeight="false" outlineLevel="0" collapsed="false">
      <c r="A210" s="29" t="s">
        <v>42</v>
      </c>
      <c r="B210" s="50" t="n">
        <f aca="false">SUM(B205:B209)</f>
        <v>16688</v>
      </c>
      <c r="C210" s="50" t="n">
        <f aca="false">SUM(C205:C209)</f>
        <v>2198053.98</v>
      </c>
      <c r="D210" s="51" t="n">
        <f aca="false">IF($B210=0,"",$C210/$B210)</f>
        <v>131.714644055609</v>
      </c>
      <c r="E210" s="50" t="n">
        <f aca="false">SUM(E205:E209)</f>
        <v>16688</v>
      </c>
      <c r="F210" s="29" t="n">
        <f aca="false">SUM(F205:F209)</f>
        <v>2201882.45</v>
      </c>
      <c r="G210" s="51" t="n">
        <f aca="false">IF($E210=0,"",$F210/$E210)</f>
        <v>131.944058604986</v>
      </c>
      <c r="H210" s="51" t="n">
        <f aca="false">IF(OR($B210=0,$E210=0),"N/A",$G210-$D210)</f>
        <v>0.229414549376799</v>
      </c>
      <c r="I210" s="50" t="n">
        <f aca="false">$B210-$E210</f>
        <v>0</v>
      </c>
      <c r="J210" s="51" t="n">
        <f aca="false">SUM(J205:J209)</f>
        <v>3828.47</v>
      </c>
      <c r="K210" s="29"/>
      <c r="L210" s="51" t="n">
        <f aca="false">SUM(L205:L209)</f>
        <v>715.61179625</v>
      </c>
      <c r="M210" s="51" t="n">
        <f aca="false">SUM(M205:M209)</f>
        <v>93.0295335125</v>
      </c>
      <c r="N210" s="51" t="n">
        <f aca="false">$L210+$M210</f>
        <v>808.6413297625</v>
      </c>
      <c r="O210" s="51" t="n">
        <f aca="false">SUM(O205:O209)</f>
        <v>3019.8286702375</v>
      </c>
      <c r="P210" s="52" t="n">
        <f aca="false">IF($C210=0,"N/A",$O210/$C210)</f>
        <v>0.00137386465378684</v>
      </c>
    </row>
    <row r="213" customFormat="false" ht="19.7" hidden="false" customHeight="false" outlineLevel="0" collapsed="false">
      <c r="A213" s="1" t="s">
        <v>146</v>
      </c>
    </row>
    <row r="214" customFormat="false" ht="15" hidden="false" customHeight="false" outlineLevel="0" collapsed="false">
      <c r="A214" s="2" t="s">
        <v>106</v>
      </c>
      <c r="D214" s="31" t="s">
        <v>107</v>
      </c>
    </row>
    <row r="215" customFormat="false" ht="15" hidden="false" customHeight="false" outlineLevel="0" collapsed="false">
      <c r="A215" s="3" t="s">
        <v>108</v>
      </c>
      <c r="B215" s="27" t="n">
        <v>46281</v>
      </c>
      <c r="D215" s="3" t="s">
        <v>109</v>
      </c>
      <c r="E215" s="47" t="n">
        <f aca="false">C227</f>
        <v>475972</v>
      </c>
    </row>
    <row r="216" customFormat="false" ht="15" hidden="false" customHeight="false" outlineLevel="0" collapsed="false">
      <c r="A216" s="3" t="s">
        <v>110</v>
      </c>
      <c r="B216" s="28" t="s">
        <v>111</v>
      </c>
      <c r="D216" s="3" t="s">
        <v>112</v>
      </c>
      <c r="E216" s="47" t="n">
        <f aca="false">F227</f>
        <v>479750</v>
      </c>
    </row>
    <row r="217" customFormat="false" ht="15" hidden="false" customHeight="false" outlineLevel="0" collapsed="false">
      <c r="A217" s="3" t="s">
        <v>113</v>
      </c>
      <c r="B217" s="28" t="s">
        <v>114</v>
      </c>
      <c r="D217" s="3" t="s">
        <v>11</v>
      </c>
      <c r="E217" s="47" t="n">
        <f aca="false">J227</f>
        <v>3778</v>
      </c>
    </row>
    <row r="218" customFormat="false" ht="15" hidden="false" customHeight="false" outlineLevel="0" collapsed="false">
      <c r="A218" s="3" t="s">
        <v>115</v>
      </c>
      <c r="B218" s="28" t="s">
        <v>116</v>
      </c>
      <c r="D218" s="3" t="s">
        <v>13</v>
      </c>
      <c r="E218" s="47" t="n">
        <f aca="false">L227</f>
        <v>155.91875</v>
      </c>
    </row>
    <row r="219" customFormat="false" ht="15" hidden="false" customHeight="false" outlineLevel="0" collapsed="false">
      <c r="A219" s="3" t="s">
        <v>117</v>
      </c>
      <c r="B219" s="28" t="s">
        <v>118</v>
      </c>
      <c r="D219" s="3" t="s">
        <v>15</v>
      </c>
      <c r="E219" s="47" t="n">
        <f aca="false">M227</f>
        <v>20.2694375</v>
      </c>
    </row>
    <row r="220" customFormat="false" ht="15" hidden="false" customHeight="false" outlineLevel="0" collapsed="false">
      <c r="A220" s="3" t="s">
        <v>119</v>
      </c>
      <c r="B220" s="28" t="s">
        <v>147</v>
      </c>
      <c r="D220" s="3" t="s">
        <v>121</v>
      </c>
      <c r="E220" s="47" t="n">
        <f aca="false">N227</f>
        <v>176.1881875</v>
      </c>
    </row>
    <row r="221" customFormat="false" ht="15" hidden="false" customHeight="false" outlineLevel="0" collapsed="false">
      <c r="D221" s="3" t="s">
        <v>16</v>
      </c>
      <c r="E221" s="47" t="n">
        <f aca="false">O227</f>
        <v>3601.8118125</v>
      </c>
    </row>
    <row r="222" customFormat="false" ht="15" hidden="false" customHeight="false" outlineLevel="0" collapsed="false">
      <c r="D222" s="3" t="s">
        <v>8</v>
      </c>
      <c r="E222" s="48" t="n">
        <f aca="false">P227</f>
        <v>0.00756727667278748</v>
      </c>
    </row>
    <row r="223" customFormat="false" ht="15" hidden="false" customHeight="false" outlineLevel="0" collapsed="false">
      <c r="D223" s="3" t="s">
        <v>122</v>
      </c>
      <c r="E223" s="49" t="n">
        <f aca="false">I227</f>
        <v>0</v>
      </c>
    </row>
    <row r="224" customFormat="false" ht="15" hidden="false" customHeight="false" outlineLevel="0" collapsed="false">
      <c r="A224" s="31" t="s">
        <v>123</v>
      </c>
    </row>
    <row r="225" customFormat="false" ht="30" hidden="false" customHeight="true" outlineLevel="0" collapsed="false">
      <c r="A225" s="18" t="s">
        <v>71</v>
      </c>
      <c r="B225" s="18" t="s">
        <v>33</v>
      </c>
      <c r="C225" s="18" t="s">
        <v>36</v>
      </c>
      <c r="D225" s="18" t="s">
        <v>60</v>
      </c>
      <c r="E225" s="18" t="s">
        <v>34</v>
      </c>
      <c r="F225" s="18" t="s">
        <v>37</v>
      </c>
      <c r="G225" s="18" t="s">
        <v>61</v>
      </c>
      <c r="H225" s="18" t="s">
        <v>62</v>
      </c>
      <c r="I225" s="18" t="s">
        <v>35</v>
      </c>
      <c r="J225" s="18" t="s">
        <v>38</v>
      </c>
      <c r="K225" s="18" t="s">
        <v>63</v>
      </c>
      <c r="L225" s="18" t="s">
        <v>39</v>
      </c>
      <c r="M225" s="18" t="s">
        <v>64</v>
      </c>
      <c r="N225" s="18" t="s">
        <v>41</v>
      </c>
      <c r="O225" s="18" t="s">
        <v>7</v>
      </c>
      <c r="P225" s="18" t="s">
        <v>8</v>
      </c>
    </row>
    <row r="226" customFormat="false" ht="15" hidden="false" customHeight="false" outlineLevel="0" collapsed="false">
      <c r="A226" s="6" t="s">
        <v>76</v>
      </c>
      <c r="B226" s="33" t="n">
        <v>2500</v>
      </c>
      <c r="C226" s="33" t="n">
        <v>475972</v>
      </c>
      <c r="D226" s="9" t="n">
        <f aca="false">IF($B226=0,"",$C226/$B226)</f>
        <v>190.3888</v>
      </c>
      <c r="E226" s="33" t="n">
        <v>2500</v>
      </c>
      <c r="F226" s="6" t="n">
        <v>479750</v>
      </c>
      <c r="G226" s="9" t="n">
        <f aca="false">IF($E226=0,"",$F226/$E226)</f>
        <v>191.9</v>
      </c>
      <c r="H226" s="9" t="n">
        <f aca="false">IF(OR($B226=0,$E226=0),"N/A",$G226-$D226)</f>
        <v>1.5112</v>
      </c>
      <c r="I226" s="33" t="n">
        <f aca="false">$B226-$E226</f>
        <v>0</v>
      </c>
      <c r="J226" s="9" t="n">
        <f aca="false">$F226-$C226</f>
        <v>3778</v>
      </c>
      <c r="K226" s="6" t="str">
        <f aca="false">IF($E226=0,"—",IF($G226&gt;=Comm_Slab2_Start,"0.0325% of sell value","0.0175 paisa per share"))</f>
        <v>0.0325% of sell value</v>
      </c>
      <c r="L226" s="9" t="n">
        <f aca="false">IF($E226=0,0,IF($G226&gt;=Comm_Slab2_Start,$F226*Comm_Slab2_Rate,$E226*Comm_Slab1_Paisa/Paisa_Per_PKR))</f>
        <v>155.91875</v>
      </c>
      <c r="M226" s="9" t="n">
        <f aca="false">$L226*SST_Rate</f>
        <v>20.2694375</v>
      </c>
      <c r="N226" s="9" t="n">
        <f aca="false">$L226+$M226</f>
        <v>176.1881875</v>
      </c>
      <c r="O226" s="9" t="n">
        <f aca="false">$J226-$N226</f>
        <v>3601.8118125</v>
      </c>
      <c r="P226" s="10" t="n">
        <f aca="false">IF($C226=0,"N/A",$O226/$C226)</f>
        <v>0.00756727667278748</v>
      </c>
    </row>
    <row r="227" customFormat="false" ht="15" hidden="false" customHeight="false" outlineLevel="0" collapsed="false">
      <c r="A227" s="29" t="s">
        <v>42</v>
      </c>
      <c r="B227" s="50" t="n">
        <f aca="false">SUM(B226)</f>
        <v>2500</v>
      </c>
      <c r="C227" s="50" t="n">
        <f aca="false">SUM(C226)</f>
        <v>475972</v>
      </c>
      <c r="D227" s="51" t="n">
        <f aca="false">IF($B227=0,"",$C227/$B227)</f>
        <v>190.3888</v>
      </c>
      <c r="E227" s="50" t="n">
        <f aca="false">SUM(E226)</f>
        <v>2500</v>
      </c>
      <c r="F227" s="29" t="n">
        <f aca="false">SUM(F226)</f>
        <v>479750</v>
      </c>
      <c r="G227" s="51" t="n">
        <f aca="false">IF($E227=0,"",$F227/$E227)</f>
        <v>191.9</v>
      </c>
      <c r="H227" s="51" t="n">
        <f aca="false">IF(OR($B227=0,$E227=0),"N/A",$G227-$D227)</f>
        <v>1.5112</v>
      </c>
      <c r="I227" s="50" t="n">
        <f aca="false">$B227-$E227</f>
        <v>0</v>
      </c>
      <c r="J227" s="51" t="n">
        <f aca="false">SUM(J226)</f>
        <v>3778</v>
      </c>
      <c r="K227" s="29"/>
      <c r="L227" s="51" t="n">
        <f aca="false">SUM(L226)</f>
        <v>155.91875</v>
      </c>
      <c r="M227" s="51" t="n">
        <f aca="false">SUM(M226)</f>
        <v>20.2694375</v>
      </c>
      <c r="N227" s="51" t="n">
        <f aca="false">$L227+$M227</f>
        <v>176.1881875</v>
      </c>
      <c r="O227" s="51" t="n">
        <f aca="false">SUM(O226)</f>
        <v>3601.8118125</v>
      </c>
      <c r="P227" s="52" t="n">
        <f aca="false">IF($C227=0,"N/A",$O227/$C227)</f>
        <v>0.00756727667278748</v>
      </c>
    </row>
    <row r="230" customFormat="false" ht="19.7" hidden="false" customHeight="false" outlineLevel="0" collapsed="false">
      <c r="A230" s="1" t="s">
        <v>148</v>
      </c>
    </row>
    <row r="231" customFormat="false" ht="15" hidden="false" customHeight="false" outlineLevel="0" collapsed="false">
      <c r="A231" s="2" t="s">
        <v>106</v>
      </c>
      <c r="D231" s="31" t="s">
        <v>107</v>
      </c>
    </row>
    <row r="232" customFormat="false" ht="15" hidden="false" customHeight="false" outlineLevel="0" collapsed="false">
      <c r="A232" s="3" t="s">
        <v>108</v>
      </c>
      <c r="B232" s="27" t="n">
        <v>46282</v>
      </c>
      <c r="D232" s="3" t="s">
        <v>109</v>
      </c>
      <c r="E232" s="47" t="n">
        <f aca="false">C248</f>
        <v>4617217.74</v>
      </c>
    </row>
    <row r="233" customFormat="false" ht="15" hidden="false" customHeight="false" outlineLevel="0" collapsed="false">
      <c r="A233" s="3" t="s">
        <v>110</v>
      </c>
      <c r="B233" s="28" t="s">
        <v>111</v>
      </c>
      <c r="D233" s="3" t="s">
        <v>112</v>
      </c>
      <c r="E233" s="47" t="n">
        <f aca="false">F248</f>
        <v>4615480.83</v>
      </c>
    </row>
    <row r="234" customFormat="false" ht="15" hidden="false" customHeight="false" outlineLevel="0" collapsed="false">
      <c r="A234" s="3" t="s">
        <v>113</v>
      </c>
      <c r="B234" s="28" t="s">
        <v>125</v>
      </c>
      <c r="D234" s="3" t="s">
        <v>11</v>
      </c>
      <c r="E234" s="47" t="n">
        <f aca="false">J248</f>
        <v>-1736.91000000003</v>
      </c>
    </row>
    <row r="235" customFormat="false" ht="15" hidden="false" customHeight="false" outlineLevel="0" collapsed="false">
      <c r="A235" s="3" t="s">
        <v>115</v>
      </c>
      <c r="B235" s="28" t="s">
        <v>116</v>
      </c>
      <c r="D235" s="3" t="s">
        <v>13</v>
      </c>
      <c r="E235" s="47" t="n">
        <f aca="false">L248</f>
        <v>1401.99976975</v>
      </c>
    </row>
    <row r="236" customFormat="false" ht="15" hidden="false" customHeight="false" outlineLevel="0" collapsed="false">
      <c r="A236" s="3" t="s">
        <v>117</v>
      </c>
      <c r="B236" s="28" t="s">
        <v>118</v>
      </c>
      <c r="D236" s="3" t="s">
        <v>15</v>
      </c>
      <c r="E236" s="47" t="n">
        <f aca="false">M248</f>
        <v>182.2599700675</v>
      </c>
    </row>
    <row r="237" customFormat="false" ht="15" hidden="false" customHeight="false" outlineLevel="0" collapsed="false">
      <c r="A237" s="3" t="s">
        <v>119</v>
      </c>
      <c r="B237" s="28" t="s">
        <v>149</v>
      </c>
      <c r="D237" s="3" t="s">
        <v>121</v>
      </c>
      <c r="E237" s="47" t="n">
        <f aca="false">N248</f>
        <v>1584.2597398175</v>
      </c>
    </row>
    <row r="238" customFormat="false" ht="15" hidden="false" customHeight="false" outlineLevel="0" collapsed="false">
      <c r="D238" s="3" t="s">
        <v>16</v>
      </c>
      <c r="E238" s="47" t="n">
        <f aca="false">O248</f>
        <v>-3321.16973981753</v>
      </c>
    </row>
    <row r="239" customFormat="false" ht="15" hidden="false" customHeight="false" outlineLevel="0" collapsed="false">
      <c r="D239" s="3" t="s">
        <v>8</v>
      </c>
      <c r="E239" s="48" t="n">
        <f aca="false">P248</f>
        <v>-0.000719301087112589</v>
      </c>
    </row>
    <row r="240" customFormat="false" ht="15" hidden="false" customHeight="false" outlineLevel="0" collapsed="false">
      <c r="D240" s="3" t="s">
        <v>122</v>
      </c>
      <c r="E240" s="49" t="n">
        <f aca="false">I248</f>
        <v>0</v>
      </c>
    </row>
    <row r="241" customFormat="false" ht="15" hidden="false" customHeight="false" outlineLevel="0" collapsed="false">
      <c r="A241" s="31" t="s">
        <v>123</v>
      </c>
    </row>
    <row r="242" customFormat="false" ht="30" hidden="false" customHeight="true" outlineLevel="0" collapsed="false">
      <c r="A242" s="18" t="s">
        <v>71</v>
      </c>
      <c r="B242" s="18" t="s">
        <v>33</v>
      </c>
      <c r="C242" s="18" t="s">
        <v>36</v>
      </c>
      <c r="D242" s="18" t="s">
        <v>60</v>
      </c>
      <c r="E242" s="18" t="s">
        <v>34</v>
      </c>
      <c r="F242" s="18" t="s">
        <v>37</v>
      </c>
      <c r="G242" s="18" t="s">
        <v>61</v>
      </c>
      <c r="H242" s="18" t="s">
        <v>62</v>
      </c>
      <c r="I242" s="18" t="s">
        <v>35</v>
      </c>
      <c r="J242" s="18" t="s">
        <v>38</v>
      </c>
      <c r="K242" s="18" t="s">
        <v>63</v>
      </c>
      <c r="L242" s="18" t="s">
        <v>39</v>
      </c>
      <c r="M242" s="18" t="s">
        <v>64</v>
      </c>
      <c r="N242" s="18" t="s">
        <v>41</v>
      </c>
      <c r="O242" s="18" t="s">
        <v>7</v>
      </c>
      <c r="P242" s="18" t="s">
        <v>8</v>
      </c>
    </row>
    <row r="243" customFormat="false" ht="15" hidden="false" customHeight="false" outlineLevel="0" collapsed="false">
      <c r="A243" s="6" t="s">
        <v>92</v>
      </c>
      <c r="B243" s="33" t="n">
        <v>10000</v>
      </c>
      <c r="C243" s="33" t="n">
        <v>307300</v>
      </c>
      <c r="D243" s="9" t="n">
        <f aca="false">IF($B243=0,"",$C243/$B243)</f>
        <v>30.73</v>
      </c>
      <c r="E243" s="33" t="n">
        <v>10000</v>
      </c>
      <c r="F243" s="6" t="n">
        <v>307020</v>
      </c>
      <c r="G243" s="9" t="n">
        <f aca="false">IF($E243=0,"",$F243/$E243)</f>
        <v>30.702</v>
      </c>
      <c r="H243" s="9" t="n">
        <f aca="false">IF(OR($B243=0,$E243=0),"N/A",$G243-$D243)</f>
        <v>-0.0279999999999987</v>
      </c>
      <c r="I243" s="33" t="n">
        <f aca="false">$B243-$E243</f>
        <v>0</v>
      </c>
      <c r="J243" s="9" t="n">
        <f aca="false">$F243-$C243</f>
        <v>-280</v>
      </c>
      <c r="K243" s="6" t="str">
        <f aca="false">IF($E243=0,"—",IF($G243&gt;=Comm_Slab2_Start,"0.0325% of sell value","0.0175 paisa per share"))</f>
        <v>0.0175 paisa per share</v>
      </c>
      <c r="L243" s="9" t="n">
        <f aca="false">IF($E243=0,0,IF($G243&gt;=Comm_Slab2_Start,$F243*Comm_Slab2_Rate,$E243*Comm_Slab1_Paisa/Paisa_Per_PKR))</f>
        <v>1.75</v>
      </c>
      <c r="M243" s="9" t="n">
        <f aca="false">$L243*SST_Rate</f>
        <v>0.2275</v>
      </c>
      <c r="N243" s="9" t="n">
        <f aca="false">$L243+$M243</f>
        <v>1.9775</v>
      </c>
      <c r="O243" s="9" t="n">
        <f aca="false">$J243-$N243</f>
        <v>-281.9775</v>
      </c>
      <c r="P243" s="10" t="n">
        <f aca="false">IF($C243=0,"N/A",$O243/$C243)</f>
        <v>-0.000917596810933941</v>
      </c>
    </row>
    <row r="244" customFormat="false" ht="15" hidden="false" customHeight="false" outlineLevel="0" collapsed="false">
      <c r="A244" s="6" t="s">
        <v>76</v>
      </c>
      <c r="B244" s="33" t="n">
        <v>12102</v>
      </c>
      <c r="C244" s="33" t="n">
        <v>2333288.04</v>
      </c>
      <c r="D244" s="9" t="n">
        <f aca="false">IF($B244=0,"",$C244/$B244)</f>
        <v>192.801854238969</v>
      </c>
      <c r="E244" s="33" t="n">
        <v>12102</v>
      </c>
      <c r="F244" s="6" t="n">
        <v>2330794.21</v>
      </c>
      <c r="G244" s="9" t="n">
        <f aca="false">IF($E244=0,"",$F244/$E244)</f>
        <v>192.595786646835</v>
      </c>
      <c r="H244" s="9" t="n">
        <f aca="false">IF(OR($B244=0,$E244=0),"N/A",$G244-$D244)</f>
        <v>-0.206067592133536</v>
      </c>
      <c r="I244" s="33" t="n">
        <f aca="false">$B244-$E244</f>
        <v>0</v>
      </c>
      <c r="J244" s="9" t="n">
        <f aca="false">$F244-$C244</f>
        <v>-2493.83000000007</v>
      </c>
      <c r="K244" s="6" t="str">
        <f aca="false">IF($E244=0,"—",IF($G244&gt;=Comm_Slab2_Start,"0.0325% of sell value","0.0175 paisa per share"))</f>
        <v>0.0325% of sell value</v>
      </c>
      <c r="L244" s="9" t="n">
        <f aca="false">IF($E244=0,0,IF($G244&gt;=Comm_Slab2_Start,$F244*Comm_Slab2_Rate,$E244*Comm_Slab1_Paisa/Paisa_Per_PKR))</f>
        <v>757.50811825</v>
      </c>
      <c r="M244" s="9" t="n">
        <f aca="false">$L244*SST_Rate</f>
        <v>98.4760553725</v>
      </c>
      <c r="N244" s="9" t="n">
        <f aca="false">$L244+$M244</f>
        <v>855.9841736225</v>
      </c>
      <c r="O244" s="9" t="n">
        <f aca="false">$J244-$N244</f>
        <v>-3349.81417362257</v>
      </c>
      <c r="P244" s="10" t="n">
        <f aca="false">IF($C244=0,"N/A",$O244/$C244)</f>
        <v>-0.00143566251409859</v>
      </c>
    </row>
    <row r="245" customFormat="false" ht="15" hidden="false" customHeight="false" outlineLevel="0" collapsed="false">
      <c r="A245" s="6" t="s">
        <v>80</v>
      </c>
      <c r="B245" s="33" t="n">
        <v>952</v>
      </c>
      <c r="C245" s="33" t="n">
        <v>88631.2</v>
      </c>
      <c r="D245" s="9" t="n">
        <f aca="false">IF($B245=0,"",$C245/$B245)</f>
        <v>93.1</v>
      </c>
      <c r="E245" s="33" t="n">
        <v>952</v>
      </c>
      <c r="F245" s="6" t="n">
        <v>88869.2</v>
      </c>
      <c r="G245" s="9" t="n">
        <f aca="false">IF($E245=0,"",$F245/$E245)</f>
        <v>93.35</v>
      </c>
      <c r="H245" s="9" t="n">
        <f aca="false">IF(OR($B245=0,$E245=0),"N/A",$G245-$D245)</f>
        <v>0.25</v>
      </c>
      <c r="I245" s="33" t="n">
        <f aca="false">$B245-$E245</f>
        <v>0</v>
      </c>
      <c r="J245" s="9" t="n">
        <f aca="false">$F245-$C245</f>
        <v>238</v>
      </c>
      <c r="K245" s="6" t="str">
        <f aca="false">IF($E245=0,"—",IF($G245&gt;=Comm_Slab2_Start,"0.0325% of sell value","0.0175 paisa per share"))</f>
        <v>0.0325% of sell value</v>
      </c>
      <c r="L245" s="9" t="n">
        <f aca="false">IF($E245=0,0,IF($G245&gt;=Comm_Slab2_Start,$F245*Comm_Slab2_Rate,$E245*Comm_Slab1_Paisa/Paisa_Per_PKR))</f>
        <v>28.88249</v>
      </c>
      <c r="M245" s="9" t="n">
        <f aca="false">$L245*SST_Rate</f>
        <v>3.7547237</v>
      </c>
      <c r="N245" s="9" t="n">
        <f aca="false">$L245+$M245</f>
        <v>32.6372137</v>
      </c>
      <c r="O245" s="9" t="n">
        <f aca="false">$J245-$N245</f>
        <v>205.3627863</v>
      </c>
      <c r="P245" s="10" t="n">
        <f aca="false">IF($C245=0,"N/A",$O245/$C245)</f>
        <v>0.00231704846938776</v>
      </c>
    </row>
    <row r="246" customFormat="false" ht="15" hidden="false" customHeight="false" outlineLevel="0" collapsed="false">
      <c r="A246" s="6" t="s">
        <v>81</v>
      </c>
      <c r="B246" s="33" t="n">
        <v>2000</v>
      </c>
      <c r="C246" s="33" t="n">
        <v>1042998.5</v>
      </c>
      <c r="D246" s="9" t="n">
        <f aca="false">IF($B246=0,"",$C246/$B246)</f>
        <v>521.49925</v>
      </c>
      <c r="E246" s="33" t="n">
        <v>2000</v>
      </c>
      <c r="F246" s="6" t="n">
        <v>1043797.42</v>
      </c>
      <c r="G246" s="9" t="n">
        <f aca="false">IF($E246=0,"",$F246/$E246)</f>
        <v>521.89871</v>
      </c>
      <c r="H246" s="9" t="n">
        <f aca="false">IF(OR($B246=0,$E246=0),"N/A",$G246-$D246)</f>
        <v>0.39946000000009</v>
      </c>
      <c r="I246" s="33" t="n">
        <f aca="false">$B246-$E246</f>
        <v>0</v>
      </c>
      <c r="J246" s="9" t="n">
        <f aca="false">$F246-$C246</f>
        <v>798.920000000042</v>
      </c>
      <c r="K246" s="6" t="str">
        <f aca="false">IF($E246=0,"—",IF($G246&gt;=Comm_Slab2_Start,"0.0325% of sell value","0.0175 paisa per share"))</f>
        <v>0.0325% of sell value</v>
      </c>
      <c r="L246" s="9" t="n">
        <f aca="false">IF($E246=0,0,IF($G246&gt;=Comm_Slab2_Start,$F246*Comm_Slab2_Rate,$E246*Comm_Slab1_Paisa/Paisa_Per_PKR))</f>
        <v>339.2341615</v>
      </c>
      <c r="M246" s="9" t="n">
        <f aca="false">$L246*SST_Rate</f>
        <v>44.100440995</v>
      </c>
      <c r="N246" s="9" t="n">
        <f aca="false">$L246+$M246</f>
        <v>383.334602495</v>
      </c>
      <c r="O246" s="9" t="n">
        <f aca="false">$J246-$N246</f>
        <v>415.585397505042</v>
      </c>
      <c r="P246" s="10" t="n">
        <f aca="false">IF($C246=0,"N/A",$O246/$C246)</f>
        <v>0.000398452536130246</v>
      </c>
    </row>
    <row r="247" customFormat="false" ht="15" hidden="false" customHeight="false" outlineLevel="0" collapsed="false">
      <c r="A247" s="6" t="s">
        <v>72</v>
      </c>
      <c r="B247" s="33" t="n">
        <v>10000</v>
      </c>
      <c r="C247" s="33" t="n">
        <v>845000</v>
      </c>
      <c r="D247" s="9" t="n">
        <f aca="false">IF($B247=0,"",$C247/$B247)</f>
        <v>84.5</v>
      </c>
      <c r="E247" s="33" t="n">
        <v>10000</v>
      </c>
      <c r="F247" s="6" t="n">
        <v>845000</v>
      </c>
      <c r="G247" s="9" t="n">
        <f aca="false">IF($E247=0,"",$F247/$E247)</f>
        <v>84.5</v>
      </c>
      <c r="H247" s="9" t="n">
        <f aca="false">IF(OR($B247=0,$E247=0),"N/A",$G247-$D247)</f>
        <v>0</v>
      </c>
      <c r="I247" s="33" t="n">
        <f aca="false">$B247-$E247</f>
        <v>0</v>
      </c>
      <c r="J247" s="9" t="n">
        <f aca="false">$F247-$C247</f>
        <v>0</v>
      </c>
      <c r="K247" s="6" t="str">
        <f aca="false">IF($E247=0,"—",IF($G247&gt;=Comm_Slab2_Start,"0.0325% of sell value","0.0175 paisa per share"))</f>
        <v>0.0325% of sell value</v>
      </c>
      <c r="L247" s="9" t="n">
        <f aca="false">IF($E247=0,0,IF($G247&gt;=Comm_Slab2_Start,$F247*Comm_Slab2_Rate,$E247*Comm_Slab1_Paisa/Paisa_Per_PKR))</f>
        <v>274.625</v>
      </c>
      <c r="M247" s="9" t="n">
        <f aca="false">$L247*SST_Rate</f>
        <v>35.70125</v>
      </c>
      <c r="N247" s="9" t="n">
        <f aca="false">$L247+$M247</f>
        <v>310.32625</v>
      </c>
      <c r="O247" s="9" t="n">
        <f aca="false">$J247-$N247</f>
        <v>-310.32625</v>
      </c>
      <c r="P247" s="10" t="n">
        <f aca="false">IF($C247=0,"N/A",$O247/$C247)</f>
        <v>-0.00036725</v>
      </c>
    </row>
    <row r="248" customFormat="false" ht="15" hidden="false" customHeight="false" outlineLevel="0" collapsed="false">
      <c r="A248" s="29" t="s">
        <v>42</v>
      </c>
      <c r="B248" s="50" t="n">
        <f aca="false">SUM(B243:B247)</f>
        <v>35054</v>
      </c>
      <c r="C248" s="50" t="n">
        <f aca="false">SUM(C243:C247)</f>
        <v>4617217.74</v>
      </c>
      <c r="D248" s="51" t="n">
        <f aca="false">IF($B248=0,"",$C248/$B248)</f>
        <v>131.717285901752</v>
      </c>
      <c r="E248" s="50" t="n">
        <f aca="false">SUM(E243:E247)</f>
        <v>35054</v>
      </c>
      <c r="F248" s="29" t="n">
        <f aca="false">SUM(F243:F247)</f>
        <v>4615480.83</v>
      </c>
      <c r="G248" s="51" t="n">
        <f aca="false">IF($E248=0,"",$F248/$E248)</f>
        <v>131.667736349632</v>
      </c>
      <c r="H248" s="51" t="n">
        <f aca="false">IF(OR($B248=0,$E248=0),"N/A",$G248-$D248)</f>
        <v>-0.0495495521195721</v>
      </c>
      <c r="I248" s="50" t="n">
        <f aca="false">$B248-$E248</f>
        <v>0</v>
      </c>
      <c r="J248" s="51" t="n">
        <f aca="false">SUM(J243:J247)</f>
        <v>-1736.91000000003</v>
      </c>
      <c r="K248" s="29"/>
      <c r="L248" s="51" t="n">
        <f aca="false">SUM(L243:L247)</f>
        <v>1401.99976975</v>
      </c>
      <c r="M248" s="51" t="n">
        <f aca="false">SUM(M243:M247)</f>
        <v>182.2599700675</v>
      </c>
      <c r="N248" s="51" t="n">
        <f aca="false">$L248+$M248</f>
        <v>1584.2597398175</v>
      </c>
      <c r="O248" s="51" t="n">
        <f aca="false">SUM(O243:O247)</f>
        <v>-3321.16973981753</v>
      </c>
      <c r="P248" s="52" t="n">
        <f aca="false">IF($C248=0,"N/A",$O248/$C248)</f>
        <v>-0.000719301087112589</v>
      </c>
    </row>
    <row r="251" customFormat="false" ht="19.7" hidden="false" customHeight="false" outlineLevel="0" collapsed="false">
      <c r="A251" s="1" t="s">
        <v>150</v>
      </c>
    </row>
    <row r="252" customFormat="false" ht="15" hidden="false" customHeight="false" outlineLevel="0" collapsed="false">
      <c r="A252" s="2" t="s">
        <v>106</v>
      </c>
      <c r="D252" s="31" t="s">
        <v>107</v>
      </c>
    </row>
    <row r="253" customFormat="false" ht="15" hidden="false" customHeight="false" outlineLevel="0" collapsed="false">
      <c r="A253" s="3" t="s">
        <v>108</v>
      </c>
      <c r="B253" s="27" t="n">
        <v>46283</v>
      </c>
      <c r="D253" s="3" t="s">
        <v>109</v>
      </c>
      <c r="E253" s="47" t="n">
        <f aca="false">C272</f>
        <v>4676905</v>
      </c>
    </row>
    <row r="254" customFormat="false" ht="15" hidden="false" customHeight="false" outlineLevel="0" collapsed="false">
      <c r="A254" s="3" t="s">
        <v>110</v>
      </c>
      <c r="B254" s="28" t="s">
        <v>111</v>
      </c>
      <c r="D254" s="3" t="s">
        <v>112</v>
      </c>
      <c r="E254" s="47" t="n">
        <f aca="false">F272</f>
        <v>4678375</v>
      </c>
    </row>
    <row r="255" customFormat="false" ht="15" hidden="false" customHeight="false" outlineLevel="0" collapsed="false">
      <c r="A255" s="3" t="s">
        <v>113</v>
      </c>
      <c r="B255" s="28" t="s">
        <v>125</v>
      </c>
      <c r="D255" s="3" t="s">
        <v>11</v>
      </c>
      <c r="E255" s="47" t="n">
        <f aca="false">J272</f>
        <v>1470</v>
      </c>
    </row>
    <row r="256" customFormat="false" ht="15" hidden="false" customHeight="false" outlineLevel="0" collapsed="false">
      <c r="A256" s="3" t="s">
        <v>115</v>
      </c>
      <c r="B256" s="28" t="s">
        <v>116</v>
      </c>
      <c r="D256" s="3" t="s">
        <v>13</v>
      </c>
      <c r="E256" s="47" t="n">
        <f aca="false">L272</f>
        <v>1520.471875</v>
      </c>
    </row>
    <row r="257" customFormat="false" ht="15" hidden="false" customHeight="false" outlineLevel="0" collapsed="false">
      <c r="A257" s="3" t="s">
        <v>117</v>
      </c>
      <c r="B257" s="28" t="s">
        <v>118</v>
      </c>
      <c r="D257" s="3" t="s">
        <v>15</v>
      </c>
      <c r="E257" s="47" t="n">
        <f aca="false">M272</f>
        <v>197.66134375</v>
      </c>
    </row>
    <row r="258" customFormat="false" ht="15" hidden="false" customHeight="false" outlineLevel="0" collapsed="false">
      <c r="A258" s="3" t="s">
        <v>119</v>
      </c>
      <c r="B258" s="28" t="s">
        <v>151</v>
      </c>
      <c r="D258" s="3" t="s">
        <v>121</v>
      </c>
      <c r="E258" s="47" t="n">
        <f aca="false">N272</f>
        <v>1718.13321875</v>
      </c>
    </row>
    <row r="259" customFormat="false" ht="15" hidden="false" customHeight="false" outlineLevel="0" collapsed="false">
      <c r="D259" s="3" t="s">
        <v>16</v>
      </c>
      <c r="E259" s="47" t="n">
        <f aca="false">O272</f>
        <v>-248.13321875</v>
      </c>
    </row>
    <row r="260" customFormat="false" ht="15" hidden="false" customHeight="false" outlineLevel="0" collapsed="false">
      <c r="D260" s="3" t="s">
        <v>8</v>
      </c>
      <c r="E260" s="48" t="n">
        <f aca="false">P272</f>
        <v>-5.30550051262533E-005</v>
      </c>
    </row>
    <row r="261" customFormat="false" ht="15" hidden="false" customHeight="false" outlineLevel="0" collapsed="false">
      <c r="D261" s="3" t="s">
        <v>122</v>
      </c>
      <c r="E261" s="49" t="n">
        <f aca="false">I272</f>
        <v>0</v>
      </c>
    </row>
    <row r="262" customFormat="false" ht="15" hidden="false" customHeight="false" outlineLevel="0" collapsed="false">
      <c r="A262" s="31" t="s">
        <v>123</v>
      </c>
    </row>
    <row r="263" customFormat="false" ht="30" hidden="false" customHeight="true" outlineLevel="0" collapsed="false">
      <c r="A263" s="18" t="s">
        <v>71</v>
      </c>
      <c r="B263" s="18" t="s">
        <v>33</v>
      </c>
      <c r="C263" s="18" t="s">
        <v>36</v>
      </c>
      <c r="D263" s="18" t="s">
        <v>60</v>
      </c>
      <c r="E263" s="18" t="s">
        <v>34</v>
      </c>
      <c r="F263" s="18" t="s">
        <v>37</v>
      </c>
      <c r="G263" s="18" t="s">
        <v>61</v>
      </c>
      <c r="H263" s="18" t="s">
        <v>62</v>
      </c>
      <c r="I263" s="18" t="s">
        <v>35</v>
      </c>
      <c r="J263" s="18" t="s">
        <v>38</v>
      </c>
      <c r="K263" s="18" t="s">
        <v>63</v>
      </c>
      <c r="L263" s="18" t="s">
        <v>39</v>
      </c>
      <c r="M263" s="18" t="s">
        <v>64</v>
      </c>
      <c r="N263" s="18" t="s">
        <v>41</v>
      </c>
      <c r="O263" s="18" t="s">
        <v>7</v>
      </c>
      <c r="P263" s="18" t="s">
        <v>8</v>
      </c>
    </row>
    <row r="264" customFormat="false" ht="15" hidden="false" customHeight="false" outlineLevel="0" collapsed="false">
      <c r="A264" s="6" t="s">
        <v>85</v>
      </c>
      <c r="B264" s="33" t="n">
        <v>2500</v>
      </c>
      <c r="C264" s="33" t="n">
        <v>189125</v>
      </c>
      <c r="D264" s="9" t="n">
        <f aca="false">IF($B264=0,"",$C264/$B264)</f>
        <v>75.65</v>
      </c>
      <c r="E264" s="33" t="n">
        <v>2500</v>
      </c>
      <c r="F264" s="6" t="n">
        <v>190000</v>
      </c>
      <c r="G264" s="9" t="n">
        <f aca="false">IF($E264=0,"",$F264/$E264)</f>
        <v>76</v>
      </c>
      <c r="H264" s="9" t="n">
        <f aca="false">IF(OR($B264=0,$E264=0),"N/A",$G264-$D264)</f>
        <v>0.349999999999994</v>
      </c>
      <c r="I264" s="33" t="n">
        <f aca="false">$B264-$E264</f>
        <v>0</v>
      </c>
      <c r="J264" s="9" t="n">
        <f aca="false">$F264-$C264</f>
        <v>875</v>
      </c>
      <c r="K264" s="6" t="str">
        <f aca="false">IF($E264=0,"—",IF($G264&gt;=Comm_Slab2_Start,"0.0325% of sell value","0.0175 paisa per share"))</f>
        <v>0.0325% of sell value</v>
      </c>
      <c r="L264" s="9" t="n">
        <f aca="false">IF($E264=0,0,IF($G264&gt;=Comm_Slab2_Start,$F264*Comm_Slab2_Rate,$E264*Comm_Slab1_Paisa/Paisa_Per_PKR))</f>
        <v>61.75</v>
      </c>
      <c r="M264" s="9" t="n">
        <f aca="false">$L264*SST_Rate</f>
        <v>8.0275</v>
      </c>
      <c r="N264" s="9" t="n">
        <f aca="false">$L264+$M264</f>
        <v>69.7775</v>
      </c>
      <c r="O264" s="9" t="n">
        <f aca="false">$J264-$N264</f>
        <v>805.2225</v>
      </c>
      <c r="P264" s="10" t="n">
        <f aca="false">IF($C264=0,"N/A",$O264/$C264)</f>
        <v>0.00425762062128222</v>
      </c>
    </row>
    <row r="265" customFormat="false" ht="15" hidden="false" customHeight="false" outlineLevel="0" collapsed="false">
      <c r="A265" s="6" t="s">
        <v>76</v>
      </c>
      <c r="B265" s="33" t="n">
        <v>5000</v>
      </c>
      <c r="C265" s="33" t="n">
        <v>977500</v>
      </c>
      <c r="D265" s="9" t="n">
        <f aca="false">IF($B265=0,"",$C265/$B265)</f>
        <v>195.5</v>
      </c>
      <c r="E265" s="33" t="n">
        <v>5000</v>
      </c>
      <c r="F265" s="6" t="n">
        <v>979050</v>
      </c>
      <c r="G265" s="9" t="n">
        <f aca="false">IF($E265=0,"",$F265/$E265)</f>
        <v>195.81</v>
      </c>
      <c r="H265" s="9" t="n">
        <f aca="false">IF(OR($B265=0,$E265=0),"N/A",$G265-$D265)</f>
        <v>0.310000000000002</v>
      </c>
      <c r="I265" s="33" t="n">
        <f aca="false">$B265-$E265</f>
        <v>0</v>
      </c>
      <c r="J265" s="9" t="n">
        <f aca="false">$F265-$C265</f>
        <v>1550</v>
      </c>
      <c r="K265" s="6" t="str">
        <f aca="false">IF($E265=0,"—",IF($G265&gt;=Comm_Slab2_Start,"0.0325% of sell value","0.0175 paisa per share"))</f>
        <v>0.0325% of sell value</v>
      </c>
      <c r="L265" s="9" t="n">
        <f aca="false">IF($E265=0,0,IF($G265&gt;=Comm_Slab2_Start,$F265*Comm_Slab2_Rate,$E265*Comm_Slab1_Paisa/Paisa_Per_PKR))</f>
        <v>318.19125</v>
      </c>
      <c r="M265" s="9" t="n">
        <f aca="false">$L265*SST_Rate</f>
        <v>41.3648625</v>
      </c>
      <c r="N265" s="9" t="n">
        <f aca="false">$L265+$M265</f>
        <v>359.5561125</v>
      </c>
      <c r="O265" s="9" t="n">
        <f aca="false">$J265-$N265</f>
        <v>1190.4438875</v>
      </c>
      <c r="P265" s="10" t="n">
        <f aca="false">IF($C265=0,"N/A",$O265/$C265)</f>
        <v>0.00121784540920716</v>
      </c>
    </row>
    <row r="266" customFormat="false" ht="15" hidden="false" customHeight="false" outlineLevel="0" collapsed="false">
      <c r="A266" s="6" t="s">
        <v>90</v>
      </c>
      <c r="B266" s="33" t="n">
        <v>1000</v>
      </c>
      <c r="C266" s="33" t="n">
        <v>545000</v>
      </c>
      <c r="D266" s="9" t="n">
        <f aca="false">IF($B266=0,"",$C266/$B266)</f>
        <v>545</v>
      </c>
      <c r="E266" s="33" t="n">
        <v>1000</v>
      </c>
      <c r="F266" s="6" t="n">
        <v>545100</v>
      </c>
      <c r="G266" s="9" t="n">
        <f aca="false">IF($E266=0,"",$F266/$E266)</f>
        <v>545.1</v>
      </c>
      <c r="H266" s="9" t="n">
        <f aca="false">IF(OR($B266=0,$E266=0),"N/A",$G266-$D266)</f>
        <v>0.100000000000023</v>
      </c>
      <c r="I266" s="33" t="n">
        <f aca="false">$B266-$E266</f>
        <v>0</v>
      </c>
      <c r="J266" s="9" t="n">
        <f aca="false">$F266-$C266</f>
        <v>100</v>
      </c>
      <c r="K266" s="6" t="str">
        <f aca="false">IF($E266=0,"—",IF($G266&gt;=Comm_Slab2_Start,"0.0325% of sell value","0.0175 paisa per share"))</f>
        <v>0.0325% of sell value</v>
      </c>
      <c r="L266" s="9" t="n">
        <f aca="false">IF($E266=0,0,IF($G266&gt;=Comm_Slab2_Start,$F266*Comm_Slab2_Rate,$E266*Comm_Slab1_Paisa/Paisa_Per_PKR))</f>
        <v>177.1575</v>
      </c>
      <c r="M266" s="9" t="n">
        <f aca="false">$L266*SST_Rate</f>
        <v>23.030475</v>
      </c>
      <c r="N266" s="9" t="n">
        <f aca="false">$L266+$M266</f>
        <v>200.187975</v>
      </c>
      <c r="O266" s="9" t="n">
        <f aca="false">$J266-$N266</f>
        <v>-100.187975</v>
      </c>
      <c r="P266" s="10" t="n">
        <f aca="false">IF($C266=0,"N/A",$O266/$C266)</f>
        <v>-0.000183831146788991</v>
      </c>
    </row>
    <row r="267" customFormat="false" ht="15" hidden="false" customHeight="false" outlineLevel="0" collapsed="false">
      <c r="A267" s="6" t="s">
        <v>97</v>
      </c>
      <c r="B267" s="33" t="n">
        <v>6000</v>
      </c>
      <c r="C267" s="33" t="n">
        <v>571845</v>
      </c>
      <c r="D267" s="9" t="n">
        <f aca="false">IF($B267=0,"",$C267/$B267)</f>
        <v>95.3075</v>
      </c>
      <c r="E267" s="33" t="n">
        <v>6000</v>
      </c>
      <c r="F267" s="6" t="n">
        <v>570990</v>
      </c>
      <c r="G267" s="9" t="n">
        <f aca="false">IF($E267=0,"",$F267/$E267)</f>
        <v>95.165</v>
      </c>
      <c r="H267" s="9" t="n">
        <f aca="false">IF(OR($B267=0,$E267=0),"N/A",$G267-$D267)</f>
        <v>-0.142499999999998</v>
      </c>
      <c r="I267" s="33" t="n">
        <f aca="false">$B267-$E267</f>
        <v>0</v>
      </c>
      <c r="J267" s="9" t="n">
        <f aca="false">$F267-$C267</f>
        <v>-855</v>
      </c>
      <c r="K267" s="6" t="str">
        <f aca="false">IF($E267=0,"—",IF($G267&gt;=Comm_Slab2_Start,"0.0325% of sell value","0.0175 paisa per share"))</f>
        <v>0.0325% of sell value</v>
      </c>
      <c r="L267" s="9" t="n">
        <f aca="false">IF($E267=0,0,IF($G267&gt;=Comm_Slab2_Start,$F267*Comm_Slab2_Rate,$E267*Comm_Slab1_Paisa/Paisa_Per_PKR))</f>
        <v>185.57175</v>
      </c>
      <c r="M267" s="9" t="n">
        <f aca="false">$L267*SST_Rate</f>
        <v>24.1243275</v>
      </c>
      <c r="N267" s="9" t="n">
        <f aca="false">$L267+$M267</f>
        <v>209.6960775</v>
      </c>
      <c r="O267" s="9" t="n">
        <f aca="false">$J267-$N267</f>
        <v>-1064.6960775</v>
      </c>
      <c r="P267" s="10" t="n">
        <f aca="false">IF($C267=0,"N/A",$O267/$C267)</f>
        <v>-0.00186186130419956</v>
      </c>
    </row>
    <row r="268" customFormat="false" ht="15" hidden="false" customHeight="false" outlineLevel="0" collapsed="false">
      <c r="A268" s="6" t="s">
        <v>99</v>
      </c>
      <c r="B268" s="33" t="n">
        <v>6500</v>
      </c>
      <c r="C268" s="33" t="n">
        <v>377685</v>
      </c>
      <c r="D268" s="9" t="n">
        <f aca="false">IF($B268=0,"",$C268/$B268)</f>
        <v>58.1053846153846</v>
      </c>
      <c r="E268" s="33" t="n">
        <v>6500</v>
      </c>
      <c r="F268" s="6" t="n">
        <v>376100</v>
      </c>
      <c r="G268" s="9" t="n">
        <f aca="false">IF($E268=0,"",$F268/$E268)</f>
        <v>57.8615384615385</v>
      </c>
      <c r="H268" s="9" t="n">
        <f aca="false">IF(OR($B268=0,$E268=0),"N/A",$G268-$D268)</f>
        <v>-0.243846153846157</v>
      </c>
      <c r="I268" s="33" t="n">
        <f aca="false">$B268-$E268</f>
        <v>0</v>
      </c>
      <c r="J268" s="9" t="n">
        <f aca="false">$F268-$C268</f>
        <v>-1585</v>
      </c>
      <c r="K268" s="6" t="str">
        <f aca="false">IF($E268=0,"—",IF($G268&gt;=Comm_Slab2_Start,"0.0325% of sell value","0.0175 paisa per share"))</f>
        <v>0.0325% of sell value</v>
      </c>
      <c r="L268" s="9" t="n">
        <f aca="false">IF($E268=0,0,IF($G268&gt;=Comm_Slab2_Start,$F268*Comm_Slab2_Rate,$E268*Comm_Slab1_Paisa/Paisa_Per_PKR))</f>
        <v>122.2325</v>
      </c>
      <c r="M268" s="9" t="n">
        <f aca="false">$L268*SST_Rate</f>
        <v>15.890225</v>
      </c>
      <c r="N268" s="9" t="n">
        <f aca="false">$L268+$M268</f>
        <v>138.122725</v>
      </c>
      <c r="O268" s="9" t="n">
        <f aca="false">$J268-$N268</f>
        <v>-1723.122725</v>
      </c>
      <c r="P268" s="10" t="n">
        <f aca="false">IF($C268=0,"N/A",$O268/$C268)</f>
        <v>-0.00456232766723592</v>
      </c>
    </row>
    <row r="269" customFormat="false" ht="15" hidden="false" customHeight="false" outlineLevel="0" collapsed="false">
      <c r="A269" s="6" t="s">
        <v>74</v>
      </c>
      <c r="B269" s="33" t="n">
        <v>1000</v>
      </c>
      <c r="C269" s="33" t="n">
        <v>525000</v>
      </c>
      <c r="D269" s="9" t="n">
        <f aca="false">IF($B269=0,"",$C269/$B269)</f>
        <v>525</v>
      </c>
      <c r="E269" s="33" t="n">
        <v>1000</v>
      </c>
      <c r="F269" s="6" t="n">
        <v>525000</v>
      </c>
      <c r="G269" s="9" t="n">
        <f aca="false">IF($E269=0,"",$F269/$E269)</f>
        <v>525</v>
      </c>
      <c r="H269" s="9" t="n">
        <f aca="false">IF(OR($B269=0,$E269=0),"N/A",$G269-$D269)</f>
        <v>0</v>
      </c>
      <c r="I269" s="33" t="n">
        <f aca="false">$B269-$E269</f>
        <v>0</v>
      </c>
      <c r="J269" s="9" t="n">
        <f aca="false">$F269-$C269</f>
        <v>0</v>
      </c>
      <c r="K269" s="6" t="str">
        <f aca="false">IF($E269=0,"—",IF($G269&gt;=Comm_Slab2_Start,"0.0325% of sell value","0.0175 paisa per share"))</f>
        <v>0.0325% of sell value</v>
      </c>
      <c r="L269" s="9" t="n">
        <f aca="false">IF($E269=0,0,IF($G269&gt;=Comm_Slab2_Start,$F269*Comm_Slab2_Rate,$E269*Comm_Slab1_Paisa/Paisa_Per_PKR))</f>
        <v>170.625</v>
      </c>
      <c r="M269" s="9" t="n">
        <f aca="false">$L269*SST_Rate</f>
        <v>22.18125</v>
      </c>
      <c r="N269" s="9" t="n">
        <f aca="false">$L269+$M269</f>
        <v>192.80625</v>
      </c>
      <c r="O269" s="9" t="n">
        <f aca="false">$J269-$N269</f>
        <v>-192.80625</v>
      </c>
      <c r="P269" s="10" t="n">
        <f aca="false">IF($C269=0,"N/A",$O269/$C269)</f>
        <v>-0.00036725</v>
      </c>
    </row>
    <row r="270" customFormat="false" ht="15" hidden="false" customHeight="false" outlineLevel="0" collapsed="false">
      <c r="A270" s="6" t="s">
        <v>78</v>
      </c>
      <c r="B270" s="33" t="n">
        <v>3500</v>
      </c>
      <c r="C270" s="33" t="n">
        <v>1109200</v>
      </c>
      <c r="D270" s="9" t="n">
        <f aca="false">IF($B270=0,"",$C270/$B270)</f>
        <v>316.914285714286</v>
      </c>
      <c r="E270" s="33" t="n">
        <v>3500</v>
      </c>
      <c r="F270" s="6" t="n">
        <v>1110125</v>
      </c>
      <c r="G270" s="9" t="n">
        <f aca="false">IF($E270=0,"",$F270/$E270)</f>
        <v>317.178571428571</v>
      </c>
      <c r="H270" s="9" t="n">
        <f aca="false">IF(OR($B270=0,$E270=0),"N/A",$G270-$D270)</f>
        <v>0.264285714285734</v>
      </c>
      <c r="I270" s="33" t="n">
        <f aca="false">$B270-$E270</f>
        <v>0</v>
      </c>
      <c r="J270" s="9" t="n">
        <f aca="false">$F270-$C270</f>
        <v>925</v>
      </c>
      <c r="K270" s="6" t="str">
        <f aca="false">IF($E270=0,"—",IF($G270&gt;=Comm_Slab2_Start,"0.0325% of sell value","0.0175 paisa per share"))</f>
        <v>0.0325% of sell value</v>
      </c>
      <c r="L270" s="9" t="n">
        <f aca="false">IF($E270=0,0,IF($G270&gt;=Comm_Slab2_Start,$F270*Comm_Slab2_Rate,$E270*Comm_Slab1_Paisa/Paisa_Per_PKR))</f>
        <v>360.790625</v>
      </c>
      <c r="M270" s="9" t="n">
        <f aca="false">$L270*SST_Rate</f>
        <v>46.90278125</v>
      </c>
      <c r="N270" s="9" t="n">
        <f aca="false">$L270+$M270</f>
        <v>407.69340625</v>
      </c>
      <c r="O270" s="9" t="n">
        <f aca="false">$J270-$N270</f>
        <v>517.30659375</v>
      </c>
      <c r="P270" s="10" t="n">
        <f aca="false">IF($C270=0,"N/A",$O270/$C270)</f>
        <v>0.00046637810471511</v>
      </c>
    </row>
    <row r="271" customFormat="false" ht="15" hidden="false" customHeight="false" outlineLevel="0" collapsed="false">
      <c r="A271" s="6" t="s">
        <v>87</v>
      </c>
      <c r="B271" s="33" t="n">
        <v>5000</v>
      </c>
      <c r="C271" s="33" t="n">
        <v>381550</v>
      </c>
      <c r="D271" s="9" t="n">
        <f aca="false">IF($B271=0,"",$C271/$B271)</f>
        <v>76.31</v>
      </c>
      <c r="E271" s="33" t="n">
        <v>5000</v>
      </c>
      <c r="F271" s="6" t="n">
        <v>382010</v>
      </c>
      <c r="G271" s="9" t="n">
        <f aca="false">IF($E271=0,"",$F271/$E271)</f>
        <v>76.402</v>
      </c>
      <c r="H271" s="9" t="n">
        <f aca="false">IF(OR($B271=0,$E271=0),"N/A",$G271-$D271)</f>
        <v>0.0919999999999988</v>
      </c>
      <c r="I271" s="33" t="n">
        <f aca="false">$B271-$E271</f>
        <v>0</v>
      </c>
      <c r="J271" s="9" t="n">
        <f aca="false">$F271-$C271</f>
        <v>460</v>
      </c>
      <c r="K271" s="6" t="str">
        <f aca="false">IF($E271=0,"—",IF($G271&gt;=Comm_Slab2_Start,"0.0325% of sell value","0.0175 paisa per share"))</f>
        <v>0.0325% of sell value</v>
      </c>
      <c r="L271" s="9" t="n">
        <f aca="false">IF($E271=0,0,IF($G271&gt;=Comm_Slab2_Start,$F271*Comm_Slab2_Rate,$E271*Comm_Slab1_Paisa/Paisa_Per_PKR))</f>
        <v>124.15325</v>
      </c>
      <c r="M271" s="9" t="n">
        <f aca="false">$L271*SST_Rate</f>
        <v>16.1399225</v>
      </c>
      <c r="N271" s="9" t="n">
        <f aca="false">$L271+$M271</f>
        <v>140.2931725</v>
      </c>
      <c r="O271" s="9" t="n">
        <f aca="false">$J271-$N271</f>
        <v>319.7068275</v>
      </c>
      <c r="P271" s="10" t="n">
        <f aca="false">IF($C271=0,"N/A",$O271/$C271)</f>
        <v>0.000837915941554187</v>
      </c>
    </row>
    <row r="272" customFormat="false" ht="15" hidden="false" customHeight="false" outlineLevel="0" collapsed="false">
      <c r="A272" s="29" t="s">
        <v>42</v>
      </c>
      <c r="B272" s="50" t="n">
        <f aca="false">SUM(B264:B271)</f>
        <v>30500</v>
      </c>
      <c r="C272" s="50" t="n">
        <f aca="false">SUM(C264:C271)</f>
        <v>4676905</v>
      </c>
      <c r="D272" s="51" t="n">
        <f aca="false">IF($B272=0,"",$C272/$B272)</f>
        <v>153.341147540984</v>
      </c>
      <c r="E272" s="50" t="n">
        <f aca="false">SUM(E264:E271)</f>
        <v>30500</v>
      </c>
      <c r="F272" s="29" t="n">
        <f aca="false">SUM(F264:F271)</f>
        <v>4678375</v>
      </c>
      <c r="G272" s="51" t="n">
        <f aca="false">IF($E272=0,"",$F272/$E272)</f>
        <v>153.389344262295</v>
      </c>
      <c r="H272" s="51" t="n">
        <f aca="false">IF(OR($B272=0,$E272=0),"N/A",$G272-$D272)</f>
        <v>0.0481967213114842</v>
      </c>
      <c r="I272" s="50" t="n">
        <f aca="false">$B272-$E272</f>
        <v>0</v>
      </c>
      <c r="J272" s="51" t="n">
        <f aca="false">SUM(J264:J271)</f>
        <v>1470</v>
      </c>
      <c r="K272" s="29"/>
      <c r="L272" s="51" t="n">
        <f aca="false">SUM(L264:L271)</f>
        <v>1520.471875</v>
      </c>
      <c r="M272" s="51" t="n">
        <f aca="false">SUM(M264:M271)</f>
        <v>197.66134375</v>
      </c>
      <c r="N272" s="51" t="n">
        <f aca="false">$L272+$M272</f>
        <v>1718.13321875</v>
      </c>
      <c r="O272" s="51" t="n">
        <f aca="false">SUM(O264:O271)</f>
        <v>-248.13321875</v>
      </c>
      <c r="P272" s="52" t="n">
        <f aca="false">IF($C272=0,"N/A",$O272/$C272)</f>
        <v>-5.30550051262533E-005</v>
      </c>
    </row>
    <row r="275" customFormat="false" ht="19.7" hidden="false" customHeight="false" outlineLevel="0" collapsed="false">
      <c r="A275" s="1" t="s">
        <v>152</v>
      </c>
    </row>
    <row r="276" customFormat="false" ht="15" hidden="false" customHeight="false" outlineLevel="0" collapsed="false">
      <c r="A276" s="2" t="s">
        <v>106</v>
      </c>
      <c r="D276" s="31" t="s">
        <v>107</v>
      </c>
    </row>
    <row r="277" customFormat="false" ht="15" hidden="false" customHeight="false" outlineLevel="0" collapsed="false">
      <c r="A277" s="3" t="s">
        <v>108</v>
      </c>
      <c r="B277" s="27" t="n">
        <v>46290</v>
      </c>
      <c r="D277" s="3" t="s">
        <v>109</v>
      </c>
      <c r="E277" s="47" t="n">
        <f aca="false">C291</f>
        <v>2894179.82</v>
      </c>
    </row>
    <row r="278" customFormat="false" ht="15" hidden="false" customHeight="false" outlineLevel="0" collapsed="false">
      <c r="A278" s="3" t="s">
        <v>110</v>
      </c>
      <c r="B278" s="28" t="s">
        <v>111</v>
      </c>
      <c r="D278" s="3" t="s">
        <v>112</v>
      </c>
      <c r="E278" s="47" t="n">
        <f aca="false">F291</f>
        <v>2898325</v>
      </c>
    </row>
    <row r="279" customFormat="false" ht="15" hidden="false" customHeight="false" outlineLevel="0" collapsed="false">
      <c r="A279" s="3" t="s">
        <v>113</v>
      </c>
      <c r="B279" s="28" t="s">
        <v>125</v>
      </c>
      <c r="D279" s="3" t="s">
        <v>11</v>
      </c>
      <c r="E279" s="47" t="n">
        <f aca="false">J291</f>
        <v>4145.17999999994</v>
      </c>
    </row>
    <row r="280" customFormat="false" ht="15" hidden="false" customHeight="false" outlineLevel="0" collapsed="false">
      <c r="A280" s="3" t="s">
        <v>115</v>
      </c>
      <c r="B280" s="28" t="s">
        <v>116</v>
      </c>
      <c r="D280" s="3" t="s">
        <v>13</v>
      </c>
      <c r="E280" s="47" t="n">
        <f aca="false">L291</f>
        <v>941.955625</v>
      </c>
    </row>
    <row r="281" customFormat="false" ht="15" hidden="false" customHeight="false" outlineLevel="0" collapsed="false">
      <c r="A281" s="3" t="s">
        <v>117</v>
      </c>
      <c r="B281" s="28" t="s">
        <v>118</v>
      </c>
      <c r="D281" s="3" t="s">
        <v>15</v>
      </c>
      <c r="E281" s="47" t="n">
        <f aca="false">M291</f>
        <v>122.45423125</v>
      </c>
    </row>
    <row r="282" customFormat="false" ht="15" hidden="false" customHeight="false" outlineLevel="0" collapsed="false">
      <c r="A282" s="3" t="s">
        <v>119</v>
      </c>
      <c r="B282" s="28" t="s">
        <v>153</v>
      </c>
      <c r="D282" s="3" t="s">
        <v>121</v>
      </c>
      <c r="E282" s="47" t="n">
        <f aca="false">N291</f>
        <v>1064.40985625</v>
      </c>
    </row>
    <row r="283" customFormat="false" ht="15" hidden="false" customHeight="false" outlineLevel="0" collapsed="false">
      <c r="D283" s="3" t="s">
        <v>16</v>
      </c>
      <c r="E283" s="47" t="n">
        <f aca="false">O291</f>
        <v>3080.77014374993</v>
      </c>
    </row>
    <row r="284" customFormat="false" ht="15" hidden="false" customHeight="false" outlineLevel="0" collapsed="false">
      <c r="D284" s="3" t="s">
        <v>8</v>
      </c>
      <c r="E284" s="48" t="n">
        <f aca="false">P291</f>
        <v>0.00106447088133934</v>
      </c>
    </row>
    <row r="285" customFormat="false" ht="15" hidden="false" customHeight="false" outlineLevel="0" collapsed="false">
      <c r="D285" s="3" t="s">
        <v>122</v>
      </c>
      <c r="E285" s="49" t="n">
        <f aca="false">I291</f>
        <v>0</v>
      </c>
    </row>
    <row r="286" customFormat="false" ht="15" hidden="false" customHeight="false" outlineLevel="0" collapsed="false">
      <c r="A286" s="31" t="s">
        <v>123</v>
      </c>
    </row>
    <row r="287" customFormat="false" ht="30" hidden="false" customHeight="true" outlineLevel="0" collapsed="false">
      <c r="A287" s="18" t="s">
        <v>71</v>
      </c>
      <c r="B287" s="18" t="s">
        <v>33</v>
      </c>
      <c r="C287" s="18" t="s">
        <v>36</v>
      </c>
      <c r="D287" s="18" t="s">
        <v>60</v>
      </c>
      <c r="E287" s="18" t="s">
        <v>34</v>
      </c>
      <c r="F287" s="18" t="s">
        <v>37</v>
      </c>
      <c r="G287" s="18" t="s">
        <v>61</v>
      </c>
      <c r="H287" s="18" t="s">
        <v>62</v>
      </c>
      <c r="I287" s="18" t="s">
        <v>35</v>
      </c>
      <c r="J287" s="18" t="s">
        <v>38</v>
      </c>
      <c r="K287" s="18" t="s">
        <v>63</v>
      </c>
      <c r="L287" s="18" t="s">
        <v>39</v>
      </c>
      <c r="M287" s="18" t="s">
        <v>64</v>
      </c>
      <c r="N287" s="18" t="s">
        <v>41</v>
      </c>
      <c r="O287" s="18" t="s">
        <v>7</v>
      </c>
      <c r="P287" s="18" t="s">
        <v>8</v>
      </c>
    </row>
    <row r="288" customFormat="false" ht="15" hidden="false" customHeight="false" outlineLevel="0" collapsed="false">
      <c r="A288" s="6" t="s">
        <v>86</v>
      </c>
      <c r="B288" s="33" t="n">
        <v>2500</v>
      </c>
      <c r="C288" s="33" t="n">
        <v>789354.82</v>
      </c>
      <c r="D288" s="9" t="n">
        <f aca="false">IF($B288=0,"",$C288/$B288)</f>
        <v>315.741928</v>
      </c>
      <c r="E288" s="33" t="n">
        <v>2500</v>
      </c>
      <c r="F288" s="6" t="n">
        <v>792375</v>
      </c>
      <c r="G288" s="9" t="n">
        <f aca="false">IF($E288=0,"",$F288/$E288)</f>
        <v>316.95</v>
      </c>
      <c r="H288" s="9" t="n">
        <f aca="false">IF(OR($B288=0,$E288=0),"N/A",$G288-$D288)</f>
        <v>1.20807199999996</v>
      </c>
      <c r="I288" s="33" t="n">
        <f aca="false">$B288-$E288</f>
        <v>0</v>
      </c>
      <c r="J288" s="9" t="n">
        <f aca="false">$F288-$C288</f>
        <v>3020.17999999994</v>
      </c>
      <c r="K288" s="6" t="str">
        <f aca="false">IF($E288=0,"—",IF($G288&gt;=Comm_Slab2_Start,"0.0325% of sell value","0.0175 paisa per share"))</f>
        <v>0.0325% of sell value</v>
      </c>
      <c r="L288" s="9" t="n">
        <f aca="false">IF($E288=0,0,IF($G288&gt;=Comm_Slab2_Start,$F288*Comm_Slab2_Rate,$E288*Comm_Slab1_Paisa/Paisa_Per_PKR))</f>
        <v>257.521875</v>
      </c>
      <c r="M288" s="9" t="n">
        <f aca="false">$L288*SST_Rate</f>
        <v>33.47784375</v>
      </c>
      <c r="N288" s="9" t="n">
        <f aca="false">$L288+$M288</f>
        <v>290.99971875</v>
      </c>
      <c r="O288" s="9" t="n">
        <f aca="false">$J288-$N288</f>
        <v>2729.18028124994</v>
      </c>
      <c r="P288" s="10" t="n">
        <f aca="false">IF($C288=0,"N/A",$O288/$C288)</f>
        <v>0.0034574822527212</v>
      </c>
    </row>
    <row r="289" customFormat="false" ht="15" hidden="false" customHeight="false" outlineLevel="0" collapsed="false">
      <c r="A289" s="6" t="s">
        <v>82</v>
      </c>
      <c r="B289" s="33" t="n">
        <v>1000</v>
      </c>
      <c r="C289" s="33" t="n">
        <v>313550</v>
      </c>
      <c r="D289" s="9" t="n">
        <f aca="false">IF($B289=0,"",$C289/$B289)</f>
        <v>313.55</v>
      </c>
      <c r="E289" s="33" t="n">
        <v>1000</v>
      </c>
      <c r="F289" s="6" t="n">
        <v>315450</v>
      </c>
      <c r="G289" s="9" t="n">
        <f aca="false">IF($E289=0,"",$F289/$E289)</f>
        <v>315.45</v>
      </c>
      <c r="H289" s="9" t="n">
        <f aca="false">IF(OR($B289=0,$E289=0),"N/A",$G289-$D289)</f>
        <v>1.89999999999998</v>
      </c>
      <c r="I289" s="33" t="n">
        <f aca="false">$B289-$E289</f>
        <v>0</v>
      </c>
      <c r="J289" s="9" t="n">
        <f aca="false">$F289-$C289</f>
        <v>1900</v>
      </c>
      <c r="K289" s="6" t="str">
        <f aca="false">IF($E289=0,"—",IF($G289&gt;=Comm_Slab2_Start,"0.0325% of sell value","0.0175 paisa per share"))</f>
        <v>0.0325% of sell value</v>
      </c>
      <c r="L289" s="9" t="n">
        <f aca="false">IF($E289=0,0,IF($G289&gt;=Comm_Slab2_Start,$F289*Comm_Slab2_Rate,$E289*Comm_Slab1_Paisa/Paisa_Per_PKR))</f>
        <v>102.52125</v>
      </c>
      <c r="M289" s="9" t="n">
        <f aca="false">$L289*SST_Rate</f>
        <v>13.3277625</v>
      </c>
      <c r="N289" s="9" t="n">
        <f aca="false">$L289+$M289</f>
        <v>115.8490125</v>
      </c>
      <c r="O289" s="9" t="n">
        <f aca="false">$J289-$N289</f>
        <v>1784.1509875</v>
      </c>
      <c r="P289" s="10" t="n">
        <f aca="false">IF($C289=0,"N/A",$O289/$C289)</f>
        <v>0.00569016420826025</v>
      </c>
    </row>
    <row r="290" customFormat="false" ht="15" hidden="false" customHeight="false" outlineLevel="0" collapsed="false">
      <c r="A290" s="6" t="s">
        <v>98</v>
      </c>
      <c r="B290" s="33" t="n">
        <v>5000</v>
      </c>
      <c r="C290" s="33" t="n">
        <v>1791275</v>
      </c>
      <c r="D290" s="9" t="n">
        <f aca="false">IF($B290=0,"",$C290/$B290)</f>
        <v>358.255</v>
      </c>
      <c r="E290" s="33" t="n">
        <v>5000</v>
      </c>
      <c r="F290" s="6" t="n">
        <v>1790500</v>
      </c>
      <c r="G290" s="9" t="n">
        <f aca="false">IF($E290=0,"",$F290/$E290)</f>
        <v>358.1</v>
      </c>
      <c r="H290" s="9" t="n">
        <f aca="false">IF(OR($B290=0,$E290=0),"N/A",$G290-$D290)</f>
        <v>-0.154999999999973</v>
      </c>
      <c r="I290" s="33" t="n">
        <f aca="false">$B290-$E290</f>
        <v>0</v>
      </c>
      <c r="J290" s="9" t="n">
        <f aca="false">$F290-$C290</f>
        <v>-775</v>
      </c>
      <c r="K290" s="6" t="str">
        <f aca="false">IF($E290=0,"—",IF($G290&gt;=Comm_Slab2_Start,"0.0325% of sell value","0.0175 paisa per share"))</f>
        <v>0.0325% of sell value</v>
      </c>
      <c r="L290" s="9" t="n">
        <f aca="false">IF($E290=0,0,IF($G290&gt;=Comm_Slab2_Start,$F290*Comm_Slab2_Rate,$E290*Comm_Slab1_Paisa/Paisa_Per_PKR))</f>
        <v>581.9125</v>
      </c>
      <c r="M290" s="9" t="n">
        <f aca="false">$L290*SST_Rate</f>
        <v>75.648625</v>
      </c>
      <c r="N290" s="9" t="n">
        <f aca="false">$L290+$M290</f>
        <v>657.561125</v>
      </c>
      <c r="O290" s="9" t="n">
        <f aca="false">$J290-$N290</f>
        <v>-1432.561125</v>
      </c>
      <c r="P290" s="10" t="n">
        <f aca="false">IF($C290=0,"N/A",$O290/$C290)</f>
        <v>-0.000799743827720479</v>
      </c>
    </row>
    <row r="291" customFormat="false" ht="15" hidden="false" customHeight="false" outlineLevel="0" collapsed="false">
      <c r="A291" s="29" t="s">
        <v>42</v>
      </c>
      <c r="B291" s="50" t="n">
        <f aca="false">SUM(B288:B290)</f>
        <v>8500</v>
      </c>
      <c r="C291" s="50" t="n">
        <f aca="false">SUM(C288:C290)</f>
        <v>2894179.82</v>
      </c>
      <c r="D291" s="51" t="n">
        <f aca="false">IF($B291=0,"",$C291/$B291)</f>
        <v>340.491743529412</v>
      </c>
      <c r="E291" s="50" t="n">
        <f aca="false">SUM(E288:E290)</f>
        <v>8500</v>
      </c>
      <c r="F291" s="29" t="n">
        <f aca="false">SUM(F288:F290)</f>
        <v>2898325</v>
      </c>
      <c r="G291" s="51" t="n">
        <f aca="false">IF($E291=0,"",$F291/$E291)</f>
        <v>340.979411764706</v>
      </c>
      <c r="H291" s="51" t="n">
        <f aca="false">IF(OR($B291=0,$E291=0),"N/A",$G291-$D291)</f>
        <v>0.487668235294109</v>
      </c>
      <c r="I291" s="50" t="n">
        <f aca="false">$B291-$E291</f>
        <v>0</v>
      </c>
      <c r="J291" s="51" t="n">
        <f aca="false">SUM(J288:J290)</f>
        <v>4145.17999999994</v>
      </c>
      <c r="K291" s="29"/>
      <c r="L291" s="51" t="n">
        <f aca="false">SUM(L288:L290)</f>
        <v>941.955625</v>
      </c>
      <c r="M291" s="51" t="n">
        <f aca="false">SUM(M288:M290)</f>
        <v>122.45423125</v>
      </c>
      <c r="N291" s="51" t="n">
        <f aca="false">$L291+$M291</f>
        <v>1064.40985625</v>
      </c>
      <c r="O291" s="51" t="n">
        <f aca="false">SUM(O288:O290)</f>
        <v>3080.77014374993</v>
      </c>
      <c r="P291" s="52" t="n">
        <f aca="false">IF($C291=0,"N/A",$O291/$C291)</f>
        <v>0.00106447088133934</v>
      </c>
    </row>
    <row r="294" customFormat="false" ht="19.7" hidden="false" customHeight="false" outlineLevel="0" collapsed="false">
      <c r="A294" s="1" t="s">
        <v>154</v>
      </c>
    </row>
    <row r="295" customFormat="false" ht="15" hidden="false" customHeight="false" outlineLevel="0" collapsed="false">
      <c r="A295" s="2" t="s">
        <v>106</v>
      </c>
      <c r="D295" s="31" t="s">
        <v>107</v>
      </c>
    </row>
    <row r="296" customFormat="false" ht="15" hidden="false" customHeight="false" outlineLevel="0" collapsed="false">
      <c r="A296" s="3" t="s">
        <v>108</v>
      </c>
      <c r="B296" s="27" t="n">
        <v>46296</v>
      </c>
      <c r="D296" s="3" t="s">
        <v>109</v>
      </c>
      <c r="E296" s="47" t="n">
        <f aca="false">C308</f>
        <v>399950</v>
      </c>
    </row>
    <row r="297" customFormat="false" ht="15" hidden="false" customHeight="false" outlineLevel="0" collapsed="false">
      <c r="A297" s="3" t="s">
        <v>110</v>
      </c>
      <c r="B297" s="28" t="s">
        <v>111</v>
      </c>
      <c r="D297" s="3" t="s">
        <v>112</v>
      </c>
      <c r="E297" s="47" t="n">
        <f aca="false">F308</f>
        <v>399950</v>
      </c>
    </row>
    <row r="298" customFormat="false" ht="15" hidden="false" customHeight="false" outlineLevel="0" collapsed="false">
      <c r="A298" s="3" t="s">
        <v>113</v>
      </c>
      <c r="B298" s="28" t="s">
        <v>114</v>
      </c>
      <c r="D298" s="3" t="s">
        <v>11</v>
      </c>
      <c r="E298" s="47" t="n">
        <f aca="false">J308</f>
        <v>0</v>
      </c>
    </row>
    <row r="299" customFormat="false" ht="15" hidden="false" customHeight="false" outlineLevel="0" collapsed="false">
      <c r="A299" s="3" t="s">
        <v>115</v>
      </c>
      <c r="B299" s="28" t="s">
        <v>116</v>
      </c>
      <c r="D299" s="3" t="s">
        <v>13</v>
      </c>
      <c r="E299" s="47" t="n">
        <f aca="false">L308</f>
        <v>129.98375</v>
      </c>
    </row>
    <row r="300" customFormat="false" ht="15" hidden="false" customHeight="false" outlineLevel="0" collapsed="false">
      <c r="A300" s="3" t="s">
        <v>117</v>
      </c>
      <c r="B300" s="28" t="s">
        <v>118</v>
      </c>
      <c r="D300" s="3" t="s">
        <v>15</v>
      </c>
      <c r="E300" s="47" t="n">
        <f aca="false">M308</f>
        <v>16.8978875</v>
      </c>
    </row>
    <row r="301" customFormat="false" ht="15" hidden="false" customHeight="false" outlineLevel="0" collapsed="false">
      <c r="A301" s="3" t="s">
        <v>119</v>
      </c>
      <c r="B301" s="28" t="s">
        <v>155</v>
      </c>
      <c r="D301" s="3" t="s">
        <v>121</v>
      </c>
      <c r="E301" s="47" t="n">
        <f aca="false">N308</f>
        <v>146.8816375</v>
      </c>
    </row>
    <row r="302" customFormat="false" ht="15" hidden="false" customHeight="false" outlineLevel="0" collapsed="false">
      <c r="D302" s="3" t="s">
        <v>16</v>
      </c>
      <c r="E302" s="47" t="n">
        <f aca="false">O308</f>
        <v>-146.8816375</v>
      </c>
    </row>
    <row r="303" customFormat="false" ht="15" hidden="false" customHeight="false" outlineLevel="0" collapsed="false">
      <c r="D303" s="3" t="s">
        <v>8</v>
      </c>
      <c r="E303" s="48" t="n">
        <f aca="false">P308</f>
        <v>-0.00036725</v>
      </c>
    </row>
    <row r="304" customFormat="false" ht="15" hidden="false" customHeight="false" outlineLevel="0" collapsed="false">
      <c r="D304" s="3" t="s">
        <v>122</v>
      </c>
      <c r="E304" s="49" t="n">
        <f aca="false">I308</f>
        <v>0</v>
      </c>
    </row>
    <row r="305" customFormat="false" ht="15" hidden="false" customHeight="false" outlineLevel="0" collapsed="false">
      <c r="A305" s="31" t="s">
        <v>123</v>
      </c>
    </row>
    <row r="306" customFormat="false" ht="30" hidden="false" customHeight="true" outlineLevel="0" collapsed="false">
      <c r="A306" s="18" t="s">
        <v>71</v>
      </c>
      <c r="B306" s="18" t="s">
        <v>33</v>
      </c>
      <c r="C306" s="18" t="s">
        <v>36</v>
      </c>
      <c r="D306" s="18" t="s">
        <v>60</v>
      </c>
      <c r="E306" s="18" t="s">
        <v>34</v>
      </c>
      <c r="F306" s="18" t="s">
        <v>37</v>
      </c>
      <c r="G306" s="18" t="s">
        <v>61</v>
      </c>
      <c r="H306" s="18" t="s">
        <v>62</v>
      </c>
      <c r="I306" s="18" t="s">
        <v>35</v>
      </c>
      <c r="J306" s="18" t="s">
        <v>38</v>
      </c>
      <c r="K306" s="18" t="s">
        <v>63</v>
      </c>
      <c r="L306" s="18" t="s">
        <v>39</v>
      </c>
      <c r="M306" s="18" t="s">
        <v>64</v>
      </c>
      <c r="N306" s="18" t="s">
        <v>41</v>
      </c>
      <c r="O306" s="18" t="s">
        <v>7</v>
      </c>
      <c r="P306" s="18" t="s">
        <v>8</v>
      </c>
    </row>
    <row r="307" customFormat="false" ht="15" hidden="false" customHeight="false" outlineLevel="0" collapsed="false">
      <c r="A307" s="6" t="s">
        <v>91</v>
      </c>
      <c r="B307" s="33" t="n">
        <v>5000</v>
      </c>
      <c r="C307" s="33" t="n">
        <v>399950</v>
      </c>
      <c r="D307" s="9" t="n">
        <f aca="false">IF($B307=0,"",$C307/$B307)</f>
        <v>79.99</v>
      </c>
      <c r="E307" s="33" t="n">
        <v>5000</v>
      </c>
      <c r="F307" s="6" t="n">
        <v>399950</v>
      </c>
      <c r="G307" s="9" t="n">
        <f aca="false">IF($E307=0,"",$F307/$E307)</f>
        <v>79.99</v>
      </c>
      <c r="H307" s="9" t="n">
        <f aca="false">IF(OR($B307=0,$E307=0),"N/A",$G307-$D307)</f>
        <v>0</v>
      </c>
      <c r="I307" s="33" t="n">
        <f aca="false">$B307-$E307</f>
        <v>0</v>
      </c>
      <c r="J307" s="9" t="n">
        <f aca="false">$F307-$C307</f>
        <v>0</v>
      </c>
      <c r="K307" s="6" t="str">
        <f aca="false">IF($E307=0,"—",IF($G307&gt;=Comm_Slab2_Start,"0.0325% of sell value","0.0175 paisa per share"))</f>
        <v>0.0325% of sell value</v>
      </c>
      <c r="L307" s="9" t="n">
        <f aca="false">IF($E307=0,0,IF($G307&gt;=Comm_Slab2_Start,$F307*Comm_Slab2_Rate,$E307*Comm_Slab1_Paisa/Paisa_Per_PKR))</f>
        <v>129.98375</v>
      </c>
      <c r="M307" s="9" t="n">
        <f aca="false">$L307*SST_Rate</f>
        <v>16.8978875</v>
      </c>
      <c r="N307" s="9" t="n">
        <f aca="false">$L307+$M307</f>
        <v>146.8816375</v>
      </c>
      <c r="O307" s="9" t="n">
        <f aca="false">$J307-$N307</f>
        <v>-146.8816375</v>
      </c>
      <c r="P307" s="10" t="n">
        <f aca="false">IF($C307=0,"N/A",$O307/$C307)</f>
        <v>-0.00036725</v>
      </c>
    </row>
    <row r="308" customFormat="false" ht="15" hidden="false" customHeight="false" outlineLevel="0" collapsed="false">
      <c r="A308" s="29" t="s">
        <v>42</v>
      </c>
      <c r="B308" s="50" t="n">
        <f aca="false">SUM(B307)</f>
        <v>5000</v>
      </c>
      <c r="C308" s="50" t="n">
        <f aca="false">SUM(C307)</f>
        <v>399950</v>
      </c>
      <c r="D308" s="51" t="n">
        <f aca="false">IF($B308=0,"",$C308/$B308)</f>
        <v>79.99</v>
      </c>
      <c r="E308" s="50" t="n">
        <f aca="false">SUM(E307)</f>
        <v>5000</v>
      </c>
      <c r="F308" s="29" t="n">
        <f aca="false">SUM(F307)</f>
        <v>399950</v>
      </c>
      <c r="G308" s="51" t="n">
        <f aca="false">IF($E308=0,"",$F308/$E308)</f>
        <v>79.99</v>
      </c>
      <c r="H308" s="51" t="n">
        <f aca="false">IF(OR($B308=0,$E308=0),"N/A",$G308-$D308)</f>
        <v>0</v>
      </c>
      <c r="I308" s="50" t="n">
        <f aca="false">$B308-$E308</f>
        <v>0</v>
      </c>
      <c r="J308" s="51" t="n">
        <f aca="false">SUM(J307)</f>
        <v>0</v>
      </c>
      <c r="K308" s="29"/>
      <c r="L308" s="51" t="n">
        <f aca="false">SUM(L307)</f>
        <v>129.98375</v>
      </c>
      <c r="M308" s="51" t="n">
        <f aca="false">SUM(M307)</f>
        <v>16.8978875</v>
      </c>
      <c r="N308" s="51" t="n">
        <f aca="false">$L308+$M308</f>
        <v>146.8816375</v>
      </c>
      <c r="O308" s="51" t="n">
        <f aca="false">SUM(O307)</f>
        <v>-146.8816375</v>
      </c>
      <c r="P308" s="52" t="n">
        <f aca="false">IF($C308=0,"N/A",$O308/$C308)</f>
        <v>-0.00036725</v>
      </c>
    </row>
    <row r="311" customFormat="false" ht="19.7" hidden="false" customHeight="false" outlineLevel="0" collapsed="false">
      <c r="A311" s="1" t="s">
        <v>156</v>
      </c>
    </row>
    <row r="312" customFormat="false" ht="15" hidden="false" customHeight="false" outlineLevel="0" collapsed="false">
      <c r="A312" s="2" t="s">
        <v>106</v>
      </c>
      <c r="D312" s="31" t="s">
        <v>107</v>
      </c>
    </row>
    <row r="313" customFormat="false" ht="15" hidden="false" customHeight="false" outlineLevel="0" collapsed="false">
      <c r="A313" s="3" t="s">
        <v>108</v>
      </c>
      <c r="B313" s="27" t="n">
        <v>46297</v>
      </c>
      <c r="D313" s="3" t="s">
        <v>109</v>
      </c>
      <c r="E313" s="47" t="n">
        <f aca="false">C325</f>
        <v>603000</v>
      </c>
    </row>
    <row r="314" customFormat="false" ht="15" hidden="false" customHeight="false" outlineLevel="0" collapsed="false">
      <c r="A314" s="3" t="s">
        <v>110</v>
      </c>
      <c r="B314" s="28" t="s">
        <v>111</v>
      </c>
      <c r="D314" s="3" t="s">
        <v>112</v>
      </c>
      <c r="E314" s="47" t="n">
        <f aca="false">F325</f>
        <v>604020</v>
      </c>
    </row>
    <row r="315" customFormat="false" ht="15" hidden="false" customHeight="false" outlineLevel="0" collapsed="false">
      <c r="A315" s="3" t="s">
        <v>113</v>
      </c>
      <c r="B315" s="28" t="s">
        <v>130</v>
      </c>
      <c r="D315" s="3" t="s">
        <v>11</v>
      </c>
      <c r="E315" s="47" t="n">
        <f aca="false">J325</f>
        <v>1020</v>
      </c>
    </row>
    <row r="316" customFormat="false" ht="15" hidden="false" customHeight="false" outlineLevel="0" collapsed="false">
      <c r="A316" s="3" t="s">
        <v>115</v>
      </c>
      <c r="B316" s="28" t="s">
        <v>116</v>
      </c>
      <c r="D316" s="3" t="s">
        <v>13</v>
      </c>
      <c r="E316" s="47" t="n">
        <f aca="false">L325</f>
        <v>196.3065</v>
      </c>
    </row>
    <row r="317" customFormat="false" ht="15" hidden="false" customHeight="false" outlineLevel="0" collapsed="false">
      <c r="A317" s="3" t="s">
        <v>117</v>
      </c>
      <c r="B317" s="28" t="s">
        <v>118</v>
      </c>
      <c r="D317" s="3" t="s">
        <v>15</v>
      </c>
      <c r="E317" s="47" t="n">
        <f aca="false">M325</f>
        <v>25.519845</v>
      </c>
    </row>
    <row r="318" customFormat="false" ht="15" hidden="false" customHeight="false" outlineLevel="0" collapsed="false">
      <c r="A318" s="3" t="s">
        <v>119</v>
      </c>
      <c r="B318" s="28" t="s">
        <v>157</v>
      </c>
      <c r="D318" s="3" t="s">
        <v>121</v>
      </c>
      <c r="E318" s="47" t="n">
        <f aca="false">N325</f>
        <v>221.826345</v>
      </c>
    </row>
    <row r="319" customFormat="false" ht="15" hidden="false" customHeight="false" outlineLevel="0" collapsed="false">
      <c r="D319" s="3" t="s">
        <v>16</v>
      </c>
      <c r="E319" s="47" t="n">
        <f aca="false">O325</f>
        <v>798.173655</v>
      </c>
    </row>
    <row r="320" customFormat="false" ht="15" hidden="false" customHeight="false" outlineLevel="0" collapsed="false">
      <c r="D320" s="3" t="s">
        <v>8</v>
      </c>
      <c r="E320" s="48" t="n">
        <f aca="false">P325</f>
        <v>0.00132367106965174</v>
      </c>
    </row>
    <row r="321" customFormat="false" ht="15" hidden="false" customHeight="false" outlineLevel="0" collapsed="false">
      <c r="D321" s="3" t="s">
        <v>122</v>
      </c>
      <c r="E321" s="49" t="n">
        <f aca="false">I325</f>
        <v>0</v>
      </c>
    </row>
    <row r="322" customFormat="false" ht="15" hidden="false" customHeight="false" outlineLevel="0" collapsed="false">
      <c r="A322" s="31" t="s">
        <v>123</v>
      </c>
    </row>
    <row r="323" customFormat="false" ht="30" hidden="false" customHeight="true" outlineLevel="0" collapsed="false">
      <c r="A323" s="18" t="s">
        <v>71</v>
      </c>
      <c r="B323" s="18" t="s">
        <v>33</v>
      </c>
      <c r="C323" s="18" t="s">
        <v>36</v>
      </c>
      <c r="D323" s="18" t="s">
        <v>60</v>
      </c>
      <c r="E323" s="18" t="s">
        <v>34</v>
      </c>
      <c r="F323" s="18" t="s">
        <v>37</v>
      </c>
      <c r="G323" s="18" t="s">
        <v>61</v>
      </c>
      <c r="H323" s="18" t="s">
        <v>62</v>
      </c>
      <c r="I323" s="18" t="s">
        <v>35</v>
      </c>
      <c r="J323" s="18" t="s">
        <v>38</v>
      </c>
      <c r="K323" s="18" t="s">
        <v>63</v>
      </c>
      <c r="L323" s="18" t="s">
        <v>39</v>
      </c>
      <c r="M323" s="18" t="s">
        <v>64</v>
      </c>
      <c r="N323" s="18" t="s">
        <v>41</v>
      </c>
      <c r="O323" s="18" t="s">
        <v>7</v>
      </c>
      <c r="P323" s="18" t="s">
        <v>8</v>
      </c>
    </row>
    <row r="324" customFormat="false" ht="15" hidden="false" customHeight="false" outlineLevel="0" collapsed="false">
      <c r="A324" s="6" t="s">
        <v>83</v>
      </c>
      <c r="B324" s="33" t="n">
        <v>1000</v>
      </c>
      <c r="C324" s="33" t="n">
        <v>603000</v>
      </c>
      <c r="D324" s="9" t="n">
        <f aca="false">IF($B324=0,"",$C324/$B324)</f>
        <v>603</v>
      </c>
      <c r="E324" s="33" t="n">
        <v>1000</v>
      </c>
      <c r="F324" s="6" t="n">
        <v>604020</v>
      </c>
      <c r="G324" s="9" t="n">
        <f aca="false">IF($E324=0,"",$F324/$E324)</f>
        <v>604.02</v>
      </c>
      <c r="H324" s="9" t="n">
        <f aca="false">IF(OR($B324=0,$E324=0),"N/A",$G324-$D324)</f>
        <v>1.01999999999998</v>
      </c>
      <c r="I324" s="33" t="n">
        <f aca="false">$B324-$E324</f>
        <v>0</v>
      </c>
      <c r="J324" s="9" t="n">
        <f aca="false">$F324-$C324</f>
        <v>1020</v>
      </c>
      <c r="K324" s="6" t="str">
        <f aca="false">IF($E324=0,"—",IF($G324&gt;=Comm_Slab2_Start,"0.0325% of sell value","0.0175 paisa per share"))</f>
        <v>0.0325% of sell value</v>
      </c>
      <c r="L324" s="9" t="n">
        <f aca="false">IF($E324=0,0,IF($G324&gt;=Comm_Slab2_Start,$F324*Comm_Slab2_Rate,$E324*Comm_Slab1_Paisa/Paisa_Per_PKR))</f>
        <v>196.3065</v>
      </c>
      <c r="M324" s="9" t="n">
        <f aca="false">$L324*SST_Rate</f>
        <v>25.519845</v>
      </c>
      <c r="N324" s="9" t="n">
        <f aca="false">$L324+$M324</f>
        <v>221.826345</v>
      </c>
      <c r="O324" s="9" t="n">
        <f aca="false">$J324-$N324</f>
        <v>798.173655</v>
      </c>
      <c r="P324" s="10" t="n">
        <f aca="false">IF($C324=0,"N/A",$O324/$C324)</f>
        <v>0.00132367106965174</v>
      </c>
    </row>
    <row r="325" customFormat="false" ht="15" hidden="false" customHeight="false" outlineLevel="0" collapsed="false">
      <c r="A325" s="29" t="s">
        <v>42</v>
      </c>
      <c r="B325" s="50" t="n">
        <f aca="false">SUM(B324)</f>
        <v>1000</v>
      </c>
      <c r="C325" s="50" t="n">
        <f aca="false">SUM(C324)</f>
        <v>603000</v>
      </c>
      <c r="D325" s="51" t="n">
        <f aca="false">IF($B325=0,"",$C325/$B325)</f>
        <v>603</v>
      </c>
      <c r="E325" s="50" t="n">
        <f aca="false">SUM(E324)</f>
        <v>1000</v>
      </c>
      <c r="F325" s="29" t="n">
        <f aca="false">SUM(F324)</f>
        <v>604020</v>
      </c>
      <c r="G325" s="51" t="n">
        <f aca="false">IF($E325=0,"",$F325/$E325)</f>
        <v>604.02</v>
      </c>
      <c r="H325" s="51" t="n">
        <f aca="false">IF(OR($B325=0,$E325=0),"N/A",$G325-$D325)</f>
        <v>1.01999999999998</v>
      </c>
      <c r="I325" s="50" t="n">
        <f aca="false">$B325-$E325</f>
        <v>0</v>
      </c>
      <c r="J325" s="51" t="n">
        <f aca="false">SUM(J324)</f>
        <v>1020</v>
      </c>
      <c r="K325" s="29"/>
      <c r="L325" s="51" t="n">
        <f aca="false">SUM(L324)</f>
        <v>196.3065</v>
      </c>
      <c r="M325" s="51" t="n">
        <f aca="false">SUM(M324)</f>
        <v>25.519845</v>
      </c>
      <c r="N325" s="51" t="n">
        <f aca="false">$L325+$M325</f>
        <v>221.826345</v>
      </c>
      <c r="O325" s="51" t="n">
        <f aca="false">SUM(O324)</f>
        <v>798.173655</v>
      </c>
      <c r="P325" s="52" t="n">
        <f aca="false">IF($C325=0,"N/A",$O325/$C325)</f>
        <v>0.00132367106965174</v>
      </c>
    </row>
    <row r="328" customFormat="false" ht="19.7" hidden="false" customHeight="false" outlineLevel="0" collapsed="false">
      <c r="A328" s="1" t="s">
        <v>158</v>
      </c>
    </row>
    <row r="329" customFormat="false" ht="15" hidden="false" customHeight="false" outlineLevel="0" collapsed="false">
      <c r="A329" s="2" t="s">
        <v>106</v>
      </c>
      <c r="D329" s="31" t="s">
        <v>107</v>
      </c>
    </row>
    <row r="330" customFormat="false" ht="15" hidden="false" customHeight="false" outlineLevel="0" collapsed="false">
      <c r="A330" s="3" t="s">
        <v>108</v>
      </c>
      <c r="B330" s="27" t="n">
        <v>46301</v>
      </c>
      <c r="D330" s="3" t="s">
        <v>109</v>
      </c>
      <c r="E330" s="47" t="n">
        <f aca="false">C344</f>
        <v>871082.06</v>
      </c>
    </row>
    <row r="331" customFormat="false" ht="15" hidden="false" customHeight="false" outlineLevel="0" collapsed="false">
      <c r="A331" s="3" t="s">
        <v>110</v>
      </c>
      <c r="B331" s="28" t="s">
        <v>111</v>
      </c>
      <c r="D331" s="3" t="s">
        <v>112</v>
      </c>
      <c r="E331" s="47" t="n">
        <f aca="false">F344</f>
        <v>871637.88</v>
      </c>
    </row>
    <row r="332" customFormat="false" ht="15" hidden="false" customHeight="false" outlineLevel="0" collapsed="false">
      <c r="A332" s="3" t="s">
        <v>113</v>
      </c>
      <c r="B332" s="28" t="s">
        <v>114</v>
      </c>
      <c r="D332" s="3" t="s">
        <v>11</v>
      </c>
      <c r="E332" s="47" t="n">
        <f aca="false">J344</f>
        <v>555.82</v>
      </c>
    </row>
    <row r="333" customFormat="false" ht="15" hidden="false" customHeight="false" outlineLevel="0" collapsed="false">
      <c r="A333" s="3" t="s">
        <v>115</v>
      </c>
      <c r="B333" s="28" t="s">
        <v>116</v>
      </c>
      <c r="D333" s="3" t="s">
        <v>13</v>
      </c>
      <c r="E333" s="47" t="n">
        <f aca="false">L344</f>
        <v>115.122311</v>
      </c>
    </row>
    <row r="334" customFormat="false" ht="15" hidden="false" customHeight="false" outlineLevel="0" collapsed="false">
      <c r="A334" s="3" t="s">
        <v>117</v>
      </c>
      <c r="B334" s="28" t="s">
        <v>118</v>
      </c>
      <c r="D334" s="3" t="s">
        <v>15</v>
      </c>
      <c r="E334" s="47" t="n">
        <f aca="false">M344</f>
        <v>14.96590043</v>
      </c>
    </row>
    <row r="335" customFormat="false" ht="15" hidden="false" customHeight="false" outlineLevel="0" collapsed="false">
      <c r="A335" s="3" t="s">
        <v>119</v>
      </c>
      <c r="B335" s="28" t="s">
        <v>159</v>
      </c>
      <c r="D335" s="3" t="s">
        <v>121</v>
      </c>
      <c r="E335" s="47" t="n">
        <f aca="false">N344</f>
        <v>130.08821143</v>
      </c>
    </row>
    <row r="336" customFormat="false" ht="15" hidden="false" customHeight="false" outlineLevel="0" collapsed="false">
      <c r="D336" s="3" t="s">
        <v>16</v>
      </c>
      <c r="E336" s="47" t="n">
        <f aca="false">O344</f>
        <v>425.73178857</v>
      </c>
    </row>
    <row r="337" customFormat="false" ht="15" hidden="false" customHeight="false" outlineLevel="0" collapsed="false">
      <c r="D337" s="3" t="s">
        <v>8</v>
      </c>
      <c r="E337" s="48" t="n">
        <f aca="false">P344</f>
        <v>0.000488739015667479</v>
      </c>
    </row>
    <row r="338" customFormat="false" ht="15" hidden="false" customHeight="false" outlineLevel="0" collapsed="false">
      <c r="D338" s="3" t="s">
        <v>122</v>
      </c>
      <c r="E338" s="49" t="n">
        <f aca="false">I344</f>
        <v>0</v>
      </c>
    </row>
    <row r="339" customFormat="false" ht="15" hidden="false" customHeight="false" outlineLevel="0" collapsed="false">
      <c r="A339" s="31" t="s">
        <v>123</v>
      </c>
    </row>
    <row r="340" customFormat="false" ht="30" hidden="false" customHeight="true" outlineLevel="0" collapsed="false">
      <c r="A340" s="18" t="s">
        <v>71</v>
      </c>
      <c r="B340" s="18" t="s">
        <v>33</v>
      </c>
      <c r="C340" s="18" t="s">
        <v>36</v>
      </c>
      <c r="D340" s="18" t="s">
        <v>60</v>
      </c>
      <c r="E340" s="18" t="s">
        <v>34</v>
      </c>
      <c r="F340" s="18" t="s">
        <v>37</v>
      </c>
      <c r="G340" s="18" t="s">
        <v>61</v>
      </c>
      <c r="H340" s="18" t="s">
        <v>62</v>
      </c>
      <c r="I340" s="18" t="s">
        <v>35</v>
      </c>
      <c r="J340" s="18" t="s">
        <v>38</v>
      </c>
      <c r="K340" s="18" t="s">
        <v>63</v>
      </c>
      <c r="L340" s="18" t="s">
        <v>39</v>
      </c>
      <c r="M340" s="18" t="s">
        <v>64</v>
      </c>
      <c r="N340" s="18" t="s">
        <v>41</v>
      </c>
      <c r="O340" s="18" t="s">
        <v>7</v>
      </c>
      <c r="P340" s="18" t="s">
        <v>8</v>
      </c>
    </row>
    <row r="341" customFormat="false" ht="15" hidden="false" customHeight="false" outlineLevel="0" collapsed="false">
      <c r="A341" s="6" t="s">
        <v>95</v>
      </c>
      <c r="B341" s="33" t="n">
        <v>10000</v>
      </c>
      <c r="C341" s="33" t="n">
        <v>523500</v>
      </c>
      <c r="D341" s="9" t="n">
        <f aca="false">IF($B341=0,"",$C341/$B341)</f>
        <v>52.35</v>
      </c>
      <c r="E341" s="33" t="n">
        <v>10000</v>
      </c>
      <c r="F341" s="6" t="n">
        <v>522800</v>
      </c>
      <c r="G341" s="9" t="n">
        <f aca="false">IF($E341=0,"",$F341/$E341)</f>
        <v>52.28</v>
      </c>
      <c r="H341" s="9" t="n">
        <f aca="false">IF(OR($B341=0,$E341=0),"N/A",$G341-$D341)</f>
        <v>-0.0700000000000003</v>
      </c>
      <c r="I341" s="33" t="n">
        <f aca="false">$B341-$E341</f>
        <v>0</v>
      </c>
      <c r="J341" s="9" t="n">
        <f aca="false">$F341-$C341</f>
        <v>-700</v>
      </c>
      <c r="K341" s="6" t="str">
        <f aca="false">IF($E341=0,"—",IF($G341&gt;=Comm_Slab2_Start,"0.0325% of sell value","0.0175 paisa per share"))</f>
        <v>0.0175 paisa per share</v>
      </c>
      <c r="L341" s="9" t="n">
        <f aca="false">IF($E341=0,0,IF($G341&gt;=Comm_Slab2_Start,$F341*Comm_Slab2_Rate,$E341*Comm_Slab1_Paisa/Paisa_Per_PKR))</f>
        <v>1.75</v>
      </c>
      <c r="M341" s="9" t="n">
        <f aca="false">$L341*SST_Rate</f>
        <v>0.2275</v>
      </c>
      <c r="N341" s="9" t="n">
        <f aca="false">$L341+$M341</f>
        <v>1.9775</v>
      </c>
      <c r="O341" s="9" t="n">
        <f aca="false">$J341-$N341</f>
        <v>-701.9775</v>
      </c>
      <c r="P341" s="10" t="n">
        <f aca="false">IF($C341=0,"N/A",$O341/$C341)</f>
        <v>-0.00134093123209169</v>
      </c>
    </row>
    <row r="342" customFormat="false" ht="15" hidden="false" customHeight="false" outlineLevel="0" collapsed="false">
      <c r="A342" s="6" t="s">
        <v>81</v>
      </c>
      <c r="B342" s="33" t="n">
        <v>6</v>
      </c>
      <c r="C342" s="33" t="n">
        <v>3582.06</v>
      </c>
      <c r="D342" s="9" t="n">
        <f aca="false">IF($B342=0,"",$C342/$B342)</f>
        <v>597.01</v>
      </c>
      <c r="E342" s="33" t="n">
        <v>6</v>
      </c>
      <c r="F342" s="6" t="n">
        <v>3587.88</v>
      </c>
      <c r="G342" s="9" t="n">
        <f aca="false">IF($E342=0,"",$F342/$E342)</f>
        <v>597.98</v>
      </c>
      <c r="H342" s="9" t="n">
        <f aca="false">IF(OR($B342=0,$E342=0),"N/A",$G342-$D342)</f>
        <v>0.970000000000027</v>
      </c>
      <c r="I342" s="33" t="n">
        <f aca="false">$B342-$E342</f>
        <v>0</v>
      </c>
      <c r="J342" s="9" t="n">
        <f aca="false">$F342-$C342</f>
        <v>5.82000000000016</v>
      </c>
      <c r="K342" s="6" t="str">
        <f aca="false">IF($E342=0,"—",IF($G342&gt;=Comm_Slab2_Start,"0.0325% of sell value","0.0175 paisa per share"))</f>
        <v>0.0325% of sell value</v>
      </c>
      <c r="L342" s="9" t="n">
        <f aca="false">IF($E342=0,0,IF($G342&gt;=Comm_Slab2_Start,$F342*Comm_Slab2_Rate,$E342*Comm_Slab1_Paisa/Paisa_Per_PKR))</f>
        <v>1.166061</v>
      </c>
      <c r="M342" s="9" t="n">
        <f aca="false">$L342*SST_Rate</f>
        <v>0.15158793</v>
      </c>
      <c r="N342" s="9" t="n">
        <f aca="false">$L342+$M342</f>
        <v>1.31764893</v>
      </c>
      <c r="O342" s="9" t="n">
        <f aca="false">$J342-$N342</f>
        <v>4.50235107000016</v>
      </c>
      <c r="P342" s="10" t="n">
        <f aca="false">IF($C342=0,"N/A",$O342/$C342)</f>
        <v>0.0012569167099379</v>
      </c>
    </row>
    <row r="343" customFormat="false" ht="15" hidden="false" customHeight="false" outlineLevel="0" collapsed="false">
      <c r="A343" s="6" t="s">
        <v>84</v>
      </c>
      <c r="B343" s="33" t="n">
        <v>1000</v>
      </c>
      <c r="C343" s="33" t="n">
        <v>344000</v>
      </c>
      <c r="D343" s="9" t="n">
        <f aca="false">IF($B343=0,"",$C343/$B343)</f>
        <v>344</v>
      </c>
      <c r="E343" s="33" t="n">
        <v>1000</v>
      </c>
      <c r="F343" s="6" t="n">
        <v>345250</v>
      </c>
      <c r="G343" s="9" t="n">
        <f aca="false">IF($E343=0,"",$F343/$E343)</f>
        <v>345.25</v>
      </c>
      <c r="H343" s="9" t="n">
        <f aca="false">IF(OR($B343=0,$E343=0),"N/A",$G343-$D343)</f>
        <v>1.25</v>
      </c>
      <c r="I343" s="33" t="n">
        <f aca="false">$B343-$E343</f>
        <v>0</v>
      </c>
      <c r="J343" s="9" t="n">
        <f aca="false">$F343-$C343</f>
        <v>1250</v>
      </c>
      <c r="K343" s="6" t="str">
        <f aca="false">IF($E343=0,"—",IF($G343&gt;=Comm_Slab2_Start,"0.0325% of sell value","0.0175 paisa per share"))</f>
        <v>0.0325% of sell value</v>
      </c>
      <c r="L343" s="9" t="n">
        <f aca="false">IF($E343=0,0,IF($G343&gt;=Comm_Slab2_Start,$F343*Comm_Slab2_Rate,$E343*Comm_Slab1_Paisa/Paisa_Per_PKR))</f>
        <v>112.20625</v>
      </c>
      <c r="M343" s="9" t="n">
        <f aca="false">$L343*SST_Rate</f>
        <v>14.5868125</v>
      </c>
      <c r="N343" s="9" t="n">
        <f aca="false">$L343+$M343</f>
        <v>126.7930625</v>
      </c>
      <c r="O343" s="9" t="n">
        <f aca="false">$J343-$N343</f>
        <v>1123.2069375</v>
      </c>
      <c r="P343" s="10" t="n">
        <f aca="false">IF($C343=0,"N/A",$O343/$C343)</f>
        <v>0.00326513644622093</v>
      </c>
    </row>
    <row r="344" customFormat="false" ht="15" hidden="false" customHeight="false" outlineLevel="0" collapsed="false">
      <c r="A344" s="29" t="s">
        <v>42</v>
      </c>
      <c r="B344" s="50" t="n">
        <f aca="false">SUM(B341:B343)</f>
        <v>11006</v>
      </c>
      <c r="C344" s="50" t="n">
        <f aca="false">SUM(C341:C343)</f>
        <v>871082.06</v>
      </c>
      <c r="D344" s="51" t="n">
        <f aca="false">IF($B344=0,"",$C344/$B344)</f>
        <v>79.1461075776849</v>
      </c>
      <c r="E344" s="50" t="n">
        <f aca="false">SUM(E341:E343)</f>
        <v>11006</v>
      </c>
      <c r="F344" s="29" t="n">
        <f aca="false">SUM(F341:F343)</f>
        <v>871637.88</v>
      </c>
      <c r="G344" s="51" t="n">
        <f aca="false">IF($E344=0,"",$F344/$E344)</f>
        <v>79.1966091222969</v>
      </c>
      <c r="H344" s="51" t="n">
        <f aca="false">IF(OR($B344=0,$E344=0),"N/A",$G344-$D344)</f>
        <v>0.0505015446120325</v>
      </c>
      <c r="I344" s="50" t="n">
        <f aca="false">$B344-$E344</f>
        <v>0</v>
      </c>
      <c r="J344" s="51" t="n">
        <f aca="false">SUM(J341:J343)</f>
        <v>555.82</v>
      </c>
      <c r="K344" s="29"/>
      <c r="L344" s="51" t="n">
        <f aca="false">SUM(L341:L343)</f>
        <v>115.122311</v>
      </c>
      <c r="M344" s="51" t="n">
        <f aca="false">SUM(M341:M343)</f>
        <v>14.96590043</v>
      </c>
      <c r="N344" s="51" t="n">
        <f aca="false">$L344+$M344</f>
        <v>130.08821143</v>
      </c>
      <c r="O344" s="51" t="n">
        <f aca="false">SUM(O341:O343)</f>
        <v>425.73178857</v>
      </c>
      <c r="P344" s="52" t="n">
        <f aca="false">IF($C344=0,"N/A",$O344/$C344)</f>
        <v>0.000488739015667479</v>
      </c>
    </row>
    <row r="347" customFormat="false" ht="19.7" hidden="false" customHeight="false" outlineLevel="0" collapsed="false">
      <c r="A347" s="1" t="s">
        <v>160</v>
      </c>
    </row>
    <row r="348" customFormat="false" ht="15" hidden="false" customHeight="false" outlineLevel="0" collapsed="false">
      <c r="A348" s="2" t="s">
        <v>106</v>
      </c>
      <c r="D348" s="31" t="s">
        <v>107</v>
      </c>
    </row>
    <row r="349" customFormat="false" ht="15" hidden="false" customHeight="false" outlineLevel="0" collapsed="false">
      <c r="A349" s="3" t="s">
        <v>108</v>
      </c>
      <c r="B349" s="27" t="n">
        <v>46309</v>
      </c>
      <c r="D349" s="3" t="s">
        <v>109</v>
      </c>
      <c r="E349" s="47" t="n">
        <f aca="false">C367</f>
        <v>16051455.2</v>
      </c>
    </row>
    <row r="350" customFormat="false" ht="15" hidden="false" customHeight="false" outlineLevel="0" collapsed="false">
      <c r="A350" s="3" t="s">
        <v>110</v>
      </c>
      <c r="B350" s="28" t="s">
        <v>111</v>
      </c>
      <c r="D350" s="3" t="s">
        <v>112</v>
      </c>
      <c r="E350" s="47" t="n">
        <f aca="false">F367</f>
        <v>16060638.58</v>
      </c>
    </row>
    <row r="351" customFormat="false" ht="15" hidden="false" customHeight="false" outlineLevel="0" collapsed="false">
      <c r="A351" s="3" t="s">
        <v>113</v>
      </c>
      <c r="B351" s="28" t="s">
        <v>125</v>
      </c>
      <c r="D351" s="3" t="s">
        <v>11</v>
      </c>
      <c r="E351" s="47" t="n">
        <f aca="false">J367</f>
        <v>9183.38000000006</v>
      </c>
    </row>
    <row r="352" customFormat="false" ht="15" hidden="false" customHeight="false" outlineLevel="0" collapsed="false">
      <c r="A352" s="3" t="s">
        <v>115</v>
      </c>
      <c r="B352" s="28" t="s">
        <v>116</v>
      </c>
      <c r="D352" s="3" t="s">
        <v>13</v>
      </c>
      <c r="E352" s="47" t="n">
        <f aca="false">L367</f>
        <v>5219.7075385</v>
      </c>
    </row>
    <row r="353" customFormat="false" ht="15" hidden="false" customHeight="false" outlineLevel="0" collapsed="false">
      <c r="A353" s="3" t="s">
        <v>117</v>
      </c>
      <c r="B353" s="28" t="s">
        <v>118</v>
      </c>
      <c r="D353" s="3" t="s">
        <v>15</v>
      </c>
      <c r="E353" s="47" t="n">
        <f aca="false">M367</f>
        <v>678.561980005</v>
      </c>
    </row>
    <row r="354" customFormat="false" ht="15" hidden="false" customHeight="false" outlineLevel="0" collapsed="false">
      <c r="A354" s="3" t="s">
        <v>119</v>
      </c>
      <c r="B354" s="28" t="s">
        <v>161</v>
      </c>
      <c r="D354" s="3" t="s">
        <v>121</v>
      </c>
      <c r="E354" s="47" t="n">
        <f aca="false">N367</f>
        <v>5898.269518505</v>
      </c>
    </row>
    <row r="355" customFormat="false" ht="15" hidden="false" customHeight="false" outlineLevel="0" collapsed="false">
      <c r="D355" s="3" t="s">
        <v>16</v>
      </c>
      <c r="E355" s="47" t="n">
        <f aca="false">O367</f>
        <v>3285.11048149506</v>
      </c>
    </row>
    <row r="356" customFormat="false" ht="15" hidden="false" customHeight="false" outlineLevel="0" collapsed="false">
      <c r="D356" s="3" t="s">
        <v>8</v>
      </c>
      <c r="E356" s="48" t="n">
        <f aca="false">P367</f>
        <v>0.000204661224827458</v>
      </c>
    </row>
    <row r="357" customFormat="false" ht="15" hidden="false" customHeight="false" outlineLevel="0" collapsed="false">
      <c r="D357" s="3" t="s">
        <v>122</v>
      </c>
      <c r="E357" s="49" t="n">
        <f aca="false">I367</f>
        <v>0</v>
      </c>
    </row>
    <row r="358" customFormat="false" ht="15" hidden="false" customHeight="false" outlineLevel="0" collapsed="false">
      <c r="A358" s="31" t="s">
        <v>123</v>
      </c>
    </row>
    <row r="359" customFormat="false" ht="30" hidden="false" customHeight="true" outlineLevel="0" collapsed="false">
      <c r="A359" s="18" t="s">
        <v>71</v>
      </c>
      <c r="B359" s="18" t="s">
        <v>33</v>
      </c>
      <c r="C359" s="18" t="s">
        <v>36</v>
      </c>
      <c r="D359" s="18" t="s">
        <v>60</v>
      </c>
      <c r="E359" s="18" t="s">
        <v>34</v>
      </c>
      <c r="F359" s="18" t="s">
        <v>37</v>
      </c>
      <c r="G359" s="18" t="s">
        <v>61</v>
      </c>
      <c r="H359" s="18" t="s">
        <v>62</v>
      </c>
      <c r="I359" s="18" t="s">
        <v>35</v>
      </c>
      <c r="J359" s="18" t="s">
        <v>38</v>
      </c>
      <c r="K359" s="18" t="s">
        <v>63</v>
      </c>
      <c r="L359" s="18" t="s">
        <v>39</v>
      </c>
      <c r="M359" s="18" t="s">
        <v>64</v>
      </c>
      <c r="N359" s="18" t="s">
        <v>41</v>
      </c>
      <c r="O359" s="18" t="s">
        <v>7</v>
      </c>
      <c r="P359" s="18" t="s">
        <v>8</v>
      </c>
    </row>
    <row r="360" customFormat="false" ht="15" hidden="false" customHeight="false" outlineLevel="0" collapsed="false">
      <c r="A360" s="6" t="s">
        <v>96</v>
      </c>
      <c r="B360" s="33" t="n">
        <v>5000</v>
      </c>
      <c r="C360" s="33" t="n">
        <v>900000</v>
      </c>
      <c r="D360" s="9" t="n">
        <f aca="false">IF($B360=0,"",$C360/$B360)</f>
        <v>180</v>
      </c>
      <c r="E360" s="33" t="n">
        <v>5000</v>
      </c>
      <c r="F360" s="6" t="n">
        <v>899550</v>
      </c>
      <c r="G360" s="9" t="n">
        <f aca="false">IF($E360=0,"",$F360/$E360)</f>
        <v>179.91</v>
      </c>
      <c r="H360" s="9" t="n">
        <f aca="false">IF(OR($B360=0,$E360=0),"N/A",$G360-$D360)</f>
        <v>-0.0900000000000034</v>
      </c>
      <c r="I360" s="33" t="n">
        <f aca="false">$B360-$E360</f>
        <v>0</v>
      </c>
      <c r="J360" s="9" t="n">
        <f aca="false">$F360-$C360</f>
        <v>-450</v>
      </c>
      <c r="K360" s="6" t="str">
        <f aca="false">IF($E360=0,"—",IF($G360&gt;=Comm_Slab2_Start,"0.0325% of sell value","0.0175 paisa per share"))</f>
        <v>0.0325% of sell value</v>
      </c>
      <c r="L360" s="9" t="n">
        <f aca="false">IF($E360=0,0,IF($G360&gt;=Comm_Slab2_Start,$F360*Comm_Slab2_Rate,$E360*Comm_Slab1_Paisa/Paisa_Per_PKR))</f>
        <v>292.35375</v>
      </c>
      <c r="M360" s="9" t="n">
        <f aca="false">$L360*SST_Rate</f>
        <v>38.0059875</v>
      </c>
      <c r="N360" s="9" t="n">
        <f aca="false">$L360+$M360</f>
        <v>330.3597375</v>
      </c>
      <c r="O360" s="9" t="n">
        <f aca="false">$J360-$N360</f>
        <v>-780.3597375</v>
      </c>
      <c r="P360" s="10" t="n">
        <f aca="false">IF($C360=0,"N/A",$O360/$C360)</f>
        <v>-0.000867066375</v>
      </c>
    </row>
    <row r="361" customFormat="false" ht="15" hidden="false" customHeight="false" outlineLevel="0" collapsed="false">
      <c r="A361" s="6" t="s">
        <v>80</v>
      </c>
      <c r="B361" s="33" t="n">
        <v>6789</v>
      </c>
      <c r="C361" s="33" t="n">
        <v>606936.6</v>
      </c>
      <c r="D361" s="9" t="n">
        <f aca="false">IF($B361=0,"",$C361/$B361)</f>
        <v>89.4</v>
      </c>
      <c r="E361" s="33" t="n">
        <v>6789</v>
      </c>
      <c r="F361" s="6" t="n">
        <v>609025.9</v>
      </c>
      <c r="G361" s="9" t="n">
        <f aca="false">IF($E361=0,"",$F361/$E361)</f>
        <v>89.7077478273678</v>
      </c>
      <c r="H361" s="9" t="n">
        <f aca="false">IF(OR($B361=0,$E361=0),"N/A",$G361-$D361)</f>
        <v>0.30774782736782</v>
      </c>
      <c r="I361" s="33" t="n">
        <f aca="false">$B361-$E361</f>
        <v>0</v>
      </c>
      <c r="J361" s="9" t="n">
        <f aca="false">$F361-$C361</f>
        <v>2089.30000000005</v>
      </c>
      <c r="K361" s="6" t="str">
        <f aca="false">IF($E361=0,"—",IF($G361&gt;=Comm_Slab2_Start,"0.0325% of sell value","0.0175 paisa per share"))</f>
        <v>0.0325% of sell value</v>
      </c>
      <c r="L361" s="9" t="n">
        <f aca="false">IF($E361=0,0,IF($G361&gt;=Comm_Slab2_Start,$F361*Comm_Slab2_Rate,$E361*Comm_Slab1_Paisa/Paisa_Per_PKR))</f>
        <v>197.9334175</v>
      </c>
      <c r="M361" s="9" t="n">
        <f aca="false">$L361*SST_Rate</f>
        <v>25.731344275</v>
      </c>
      <c r="N361" s="9" t="n">
        <f aca="false">$L361+$M361</f>
        <v>223.664761775</v>
      </c>
      <c r="O361" s="9" t="n">
        <f aca="false">$J361-$N361</f>
        <v>1865.63523822505</v>
      </c>
      <c r="P361" s="10" t="n">
        <f aca="false">IF($C361=0,"N/A",$O361/$C361)</f>
        <v>0.00307385522346988</v>
      </c>
    </row>
    <row r="362" customFormat="false" ht="15" hidden="false" customHeight="false" outlineLevel="0" collapsed="false">
      <c r="A362" s="6" t="s">
        <v>81</v>
      </c>
      <c r="B362" s="33" t="n">
        <v>1000</v>
      </c>
      <c r="C362" s="33" t="n">
        <v>638678.75</v>
      </c>
      <c r="D362" s="9" t="n">
        <f aca="false">IF($B362=0,"",$C362/$B362)</f>
        <v>638.67875</v>
      </c>
      <c r="E362" s="33" t="n">
        <v>1000</v>
      </c>
      <c r="F362" s="6" t="n">
        <v>641500</v>
      </c>
      <c r="G362" s="9" t="n">
        <f aca="false">IF($E362=0,"",$F362/$E362)</f>
        <v>641.5</v>
      </c>
      <c r="H362" s="9" t="n">
        <f aca="false">IF(OR($B362=0,$E362=0),"N/A",$G362-$D362)</f>
        <v>2.82124999999996</v>
      </c>
      <c r="I362" s="33" t="n">
        <f aca="false">$B362-$E362</f>
        <v>0</v>
      </c>
      <c r="J362" s="9" t="n">
        <f aca="false">$F362-$C362</f>
        <v>2821.25</v>
      </c>
      <c r="K362" s="6" t="str">
        <f aca="false">IF($E362=0,"—",IF($G362&gt;=Comm_Slab2_Start,"0.0325% of sell value","0.0175 paisa per share"))</f>
        <v>0.0325% of sell value</v>
      </c>
      <c r="L362" s="9" t="n">
        <f aca="false">IF($E362=0,0,IF($G362&gt;=Comm_Slab2_Start,$F362*Comm_Slab2_Rate,$E362*Comm_Slab1_Paisa/Paisa_Per_PKR))</f>
        <v>208.4875</v>
      </c>
      <c r="M362" s="9" t="n">
        <f aca="false">$L362*SST_Rate</f>
        <v>27.103375</v>
      </c>
      <c r="N362" s="9" t="n">
        <f aca="false">$L362+$M362</f>
        <v>235.590875</v>
      </c>
      <c r="O362" s="9" t="n">
        <f aca="false">$J362-$N362</f>
        <v>2585.659125</v>
      </c>
      <c r="P362" s="10" t="n">
        <f aca="false">IF($C362=0,"N/A",$O362/$C362)</f>
        <v>0.00404845021851753</v>
      </c>
    </row>
    <row r="363" customFormat="false" ht="15" hidden="false" customHeight="false" outlineLevel="0" collapsed="false">
      <c r="A363" s="6" t="s">
        <v>83</v>
      </c>
      <c r="B363" s="33" t="n">
        <v>6500</v>
      </c>
      <c r="C363" s="33" t="n">
        <v>4207945</v>
      </c>
      <c r="D363" s="9" t="n">
        <f aca="false">IF($B363=0,"",$C363/$B363)</f>
        <v>647.376153846154</v>
      </c>
      <c r="E363" s="33" t="n">
        <v>6500</v>
      </c>
      <c r="F363" s="6" t="n">
        <v>4210185</v>
      </c>
      <c r="G363" s="9" t="n">
        <f aca="false">IF($E363=0,"",$F363/$E363)</f>
        <v>647.720769230769</v>
      </c>
      <c r="H363" s="9" t="n">
        <f aca="false">IF(OR($B363=0,$E363=0),"N/A",$G363-$D363)</f>
        <v>0.344615384615281</v>
      </c>
      <c r="I363" s="33" t="n">
        <f aca="false">$B363-$E363</f>
        <v>0</v>
      </c>
      <c r="J363" s="9" t="n">
        <f aca="false">$F363-$C363</f>
        <v>2240</v>
      </c>
      <c r="K363" s="6" t="str">
        <f aca="false">IF($E363=0,"—",IF($G363&gt;=Comm_Slab2_Start,"0.0325% of sell value","0.0175 paisa per share"))</f>
        <v>0.0325% of sell value</v>
      </c>
      <c r="L363" s="9" t="n">
        <f aca="false">IF($E363=0,0,IF($G363&gt;=Comm_Slab2_Start,$F363*Comm_Slab2_Rate,$E363*Comm_Slab1_Paisa/Paisa_Per_PKR))</f>
        <v>1368.310125</v>
      </c>
      <c r="M363" s="9" t="n">
        <f aca="false">$L363*SST_Rate</f>
        <v>177.88031625</v>
      </c>
      <c r="N363" s="9" t="n">
        <f aca="false">$L363+$M363</f>
        <v>1546.19044125</v>
      </c>
      <c r="O363" s="9" t="n">
        <f aca="false">$J363-$N363</f>
        <v>693.80955875</v>
      </c>
      <c r="P363" s="10" t="n">
        <f aca="false">IF($C363=0,"N/A",$O363/$C363)</f>
        <v>0.000164880852470743</v>
      </c>
    </row>
    <row r="364" customFormat="false" ht="15" hidden="false" customHeight="false" outlineLevel="0" collapsed="false">
      <c r="A364" s="6" t="s">
        <v>103</v>
      </c>
      <c r="B364" s="33" t="n">
        <v>91000</v>
      </c>
      <c r="C364" s="33" t="n">
        <v>8817225</v>
      </c>
      <c r="D364" s="9" t="n">
        <f aca="false">IF($B364=0,"",$C364/$B364)</f>
        <v>96.8925824175824</v>
      </c>
      <c r="E364" s="33" t="n">
        <v>91000</v>
      </c>
      <c r="F364" s="6" t="n">
        <v>8816690</v>
      </c>
      <c r="G364" s="9" t="n">
        <f aca="false">IF($E364=0,"",$F364/$E364)</f>
        <v>96.8867032967033</v>
      </c>
      <c r="H364" s="9" t="n">
        <f aca="false">IF(OR($B364=0,$E364=0),"N/A",$G364-$D364)</f>
        <v>-0.00587912087911491</v>
      </c>
      <c r="I364" s="33" t="n">
        <f aca="false">$B364-$E364</f>
        <v>0</v>
      </c>
      <c r="J364" s="9" t="n">
        <f aca="false">$F364-$C364</f>
        <v>-535</v>
      </c>
      <c r="K364" s="6" t="str">
        <f aca="false">IF($E364=0,"—",IF($G364&gt;=Comm_Slab2_Start,"0.0325% of sell value","0.0175 paisa per share"))</f>
        <v>0.0325% of sell value</v>
      </c>
      <c r="L364" s="9" t="n">
        <f aca="false">IF($E364=0,0,IF($G364&gt;=Comm_Slab2_Start,$F364*Comm_Slab2_Rate,$E364*Comm_Slab1_Paisa/Paisa_Per_PKR))</f>
        <v>2865.42425</v>
      </c>
      <c r="M364" s="9" t="n">
        <f aca="false">$L364*SST_Rate</f>
        <v>372.5051525</v>
      </c>
      <c r="N364" s="9" t="n">
        <f aca="false">$L364+$M364</f>
        <v>3237.9294025</v>
      </c>
      <c r="O364" s="9" t="n">
        <f aca="false">$J364-$N364</f>
        <v>-3772.9294025</v>
      </c>
      <c r="P364" s="10" t="n">
        <f aca="false">IF($C364=0,"N/A",$O364/$C364)</f>
        <v>-0.000427904403312834</v>
      </c>
    </row>
    <row r="365" customFormat="false" ht="15" hidden="false" customHeight="false" outlineLevel="0" collapsed="false">
      <c r="A365" s="6" t="s">
        <v>93</v>
      </c>
      <c r="B365" s="33" t="n">
        <v>5000</v>
      </c>
      <c r="C365" s="33" t="n">
        <v>273884.85</v>
      </c>
      <c r="D365" s="9" t="n">
        <f aca="false">IF($B365=0,"",$C365/$B365)</f>
        <v>54.77697</v>
      </c>
      <c r="E365" s="33" t="n">
        <v>5000</v>
      </c>
      <c r="F365" s="6" t="n">
        <v>273527.68</v>
      </c>
      <c r="G365" s="9" t="n">
        <f aca="false">IF($E365=0,"",$F365/$E365)</f>
        <v>54.705536</v>
      </c>
      <c r="H365" s="9" t="n">
        <f aca="false">IF(OR($B365=0,$E365=0),"N/A",$G365-$D365)</f>
        <v>-0.0714340000000036</v>
      </c>
      <c r="I365" s="33" t="n">
        <f aca="false">$B365-$E365</f>
        <v>0</v>
      </c>
      <c r="J365" s="9" t="n">
        <f aca="false">$F365-$C365</f>
        <v>-357.169999999984</v>
      </c>
      <c r="K365" s="6" t="str">
        <f aca="false">IF($E365=0,"—",IF($G365&gt;=Comm_Slab2_Start,"0.0325% of sell value","0.0175 paisa per share"))</f>
        <v>0.0325% of sell value</v>
      </c>
      <c r="L365" s="9" t="n">
        <f aca="false">IF($E365=0,0,IF($G365&gt;=Comm_Slab2_Start,$F365*Comm_Slab2_Rate,$E365*Comm_Slab1_Paisa/Paisa_Per_PKR))</f>
        <v>88.896496</v>
      </c>
      <c r="M365" s="9" t="n">
        <f aca="false">$L365*SST_Rate</f>
        <v>11.55654448</v>
      </c>
      <c r="N365" s="9" t="n">
        <f aca="false">$L365+$M365</f>
        <v>100.45304048</v>
      </c>
      <c r="O365" s="9" t="n">
        <f aca="false">$J365-$N365</f>
        <v>-457.623040479984</v>
      </c>
      <c r="P365" s="10" t="n">
        <f aca="false">IF($C365=0,"N/A",$O365/$C365)</f>
        <v>-0.00167085926979891</v>
      </c>
    </row>
    <row r="366" customFormat="false" ht="15" hidden="false" customHeight="false" outlineLevel="0" collapsed="false">
      <c r="A366" s="6" t="s">
        <v>79</v>
      </c>
      <c r="B366" s="33" t="n">
        <v>11000</v>
      </c>
      <c r="C366" s="33" t="n">
        <v>606785</v>
      </c>
      <c r="D366" s="9" t="n">
        <f aca="false">IF($B366=0,"",$C366/$B366)</f>
        <v>55.1622727272727</v>
      </c>
      <c r="E366" s="33" t="n">
        <v>11000</v>
      </c>
      <c r="F366" s="6" t="n">
        <v>610160</v>
      </c>
      <c r="G366" s="9" t="n">
        <f aca="false">IF($E366=0,"",$F366/$E366)</f>
        <v>55.4690909090909</v>
      </c>
      <c r="H366" s="9" t="n">
        <f aca="false">IF(OR($B366=0,$E366=0),"N/A",$G366-$D366)</f>
        <v>0.30681818181818</v>
      </c>
      <c r="I366" s="33" t="n">
        <f aca="false">$B366-$E366</f>
        <v>0</v>
      </c>
      <c r="J366" s="9" t="n">
        <f aca="false">$F366-$C366</f>
        <v>3375</v>
      </c>
      <c r="K366" s="6" t="str">
        <f aca="false">IF($E366=0,"—",IF($G366&gt;=Comm_Slab2_Start,"0.0325% of sell value","0.0175 paisa per share"))</f>
        <v>0.0325% of sell value</v>
      </c>
      <c r="L366" s="9" t="n">
        <f aca="false">IF($E366=0,0,IF($G366&gt;=Comm_Slab2_Start,$F366*Comm_Slab2_Rate,$E366*Comm_Slab1_Paisa/Paisa_Per_PKR))</f>
        <v>198.302</v>
      </c>
      <c r="M366" s="9" t="n">
        <f aca="false">$L366*SST_Rate</f>
        <v>25.77926</v>
      </c>
      <c r="N366" s="9" t="n">
        <f aca="false">$L366+$M366</f>
        <v>224.08126</v>
      </c>
      <c r="O366" s="9" t="n">
        <f aca="false">$J366-$N366</f>
        <v>3150.91874</v>
      </c>
      <c r="P366" s="10" t="n">
        <f aca="false">IF($C366=0,"N/A",$O366/$C366)</f>
        <v>0.00519280921578483</v>
      </c>
    </row>
    <row r="367" customFormat="false" ht="15" hidden="false" customHeight="false" outlineLevel="0" collapsed="false">
      <c r="A367" s="29" t="s">
        <v>42</v>
      </c>
      <c r="B367" s="50" t="n">
        <f aca="false">SUM(B360:B366)</f>
        <v>126289</v>
      </c>
      <c r="C367" s="50" t="n">
        <f aca="false">SUM(C360:C366)</f>
        <v>16051455.2</v>
      </c>
      <c r="D367" s="51" t="n">
        <f aca="false">IF($B367=0,"",$C367/$B367)</f>
        <v>127.100976332064</v>
      </c>
      <c r="E367" s="50" t="n">
        <f aca="false">SUM(E360:E366)</f>
        <v>126289</v>
      </c>
      <c r="F367" s="29" t="n">
        <f aca="false">SUM(F360:F366)</f>
        <v>16060638.58</v>
      </c>
      <c r="G367" s="51" t="n">
        <f aca="false">IF($E367=0,"",$F367/$E367)</f>
        <v>127.173693512499</v>
      </c>
      <c r="H367" s="51" t="n">
        <f aca="false">IF(OR($B367=0,$E367=0),"N/A",$G367-$D367)</f>
        <v>0.0727171804353617</v>
      </c>
      <c r="I367" s="50" t="n">
        <f aca="false">$B367-$E367</f>
        <v>0</v>
      </c>
      <c r="J367" s="51" t="n">
        <f aca="false">SUM(J360:J366)</f>
        <v>9183.38000000006</v>
      </c>
      <c r="K367" s="29"/>
      <c r="L367" s="51" t="n">
        <f aca="false">SUM(L360:L366)</f>
        <v>5219.7075385</v>
      </c>
      <c r="M367" s="51" t="n">
        <f aca="false">SUM(M360:M366)</f>
        <v>678.561980005</v>
      </c>
      <c r="N367" s="51" t="n">
        <f aca="false">$L367+$M367</f>
        <v>5898.269518505</v>
      </c>
      <c r="O367" s="51" t="n">
        <f aca="false">SUM(O360:O366)</f>
        <v>3285.11048149506</v>
      </c>
      <c r="P367" s="52" t="n">
        <f aca="false">IF($C367=0,"N/A",$O367/$C367)</f>
        <v>0.000204661224827458</v>
      </c>
    </row>
    <row r="370" customFormat="false" ht="19.7" hidden="false" customHeight="false" outlineLevel="0" collapsed="false">
      <c r="A370" s="1" t="s">
        <v>162</v>
      </c>
    </row>
    <row r="371" customFormat="false" ht="15" hidden="false" customHeight="false" outlineLevel="0" collapsed="false">
      <c r="A371" s="2" t="s">
        <v>106</v>
      </c>
      <c r="D371" s="31" t="s">
        <v>107</v>
      </c>
    </row>
    <row r="372" customFormat="false" ht="15" hidden="false" customHeight="false" outlineLevel="0" collapsed="false">
      <c r="A372" s="3" t="s">
        <v>108</v>
      </c>
      <c r="B372" s="27" t="n">
        <v>46310</v>
      </c>
      <c r="D372" s="3" t="s">
        <v>109</v>
      </c>
      <c r="E372" s="47" t="n">
        <f aca="false">C384</f>
        <v>2639830</v>
      </c>
    </row>
    <row r="373" customFormat="false" ht="15" hidden="false" customHeight="false" outlineLevel="0" collapsed="false">
      <c r="A373" s="3" t="s">
        <v>110</v>
      </c>
      <c r="B373" s="28" t="s">
        <v>111</v>
      </c>
      <c r="D373" s="3" t="s">
        <v>112</v>
      </c>
      <c r="E373" s="47" t="n">
        <f aca="false">F384</f>
        <v>2639997.1</v>
      </c>
    </row>
    <row r="374" customFormat="false" ht="15" hidden="false" customHeight="false" outlineLevel="0" collapsed="false">
      <c r="A374" s="3" t="s">
        <v>113</v>
      </c>
      <c r="B374" s="28" t="s">
        <v>114</v>
      </c>
      <c r="D374" s="3" t="s">
        <v>11</v>
      </c>
      <c r="E374" s="47" t="n">
        <f aca="false">J384</f>
        <v>167.100000000093</v>
      </c>
    </row>
    <row r="375" customFormat="false" ht="15" hidden="false" customHeight="false" outlineLevel="0" collapsed="false">
      <c r="A375" s="3" t="s">
        <v>115</v>
      </c>
      <c r="B375" s="28" t="s">
        <v>116</v>
      </c>
      <c r="D375" s="3" t="s">
        <v>13</v>
      </c>
      <c r="E375" s="47" t="n">
        <f aca="false">L384</f>
        <v>857.9990575</v>
      </c>
    </row>
    <row r="376" customFormat="false" ht="15" hidden="false" customHeight="false" outlineLevel="0" collapsed="false">
      <c r="A376" s="3" t="s">
        <v>117</v>
      </c>
      <c r="B376" s="28" t="s">
        <v>118</v>
      </c>
      <c r="D376" s="3" t="s">
        <v>15</v>
      </c>
      <c r="E376" s="47" t="n">
        <f aca="false">M384</f>
        <v>111.539877475</v>
      </c>
    </row>
    <row r="377" customFormat="false" ht="15" hidden="false" customHeight="false" outlineLevel="0" collapsed="false">
      <c r="A377" s="3" t="s">
        <v>119</v>
      </c>
      <c r="B377" s="28" t="s">
        <v>163</v>
      </c>
      <c r="D377" s="3" t="s">
        <v>121</v>
      </c>
      <c r="E377" s="47" t="n">
        <f aca="false">N384</f>
        <v>969.538934975</v>
      </c>
    </row>
    <row r="378" customFormat="false" ht="15" hidden="false" customHeight="false" outlineLevel="0" collapsed="false">
      <c r="D378" s="3" t="s">
        <v>16</v>
      </c>
      <c r="E378" s="47" t="n">
        <f aca="false">O384</f>
        <v>-802.438934974907</v>
      </c>
    </row>
    <row r="379" customFormat="false" ht="15" hidden="false" customHeight="false" outlineLevel="0" collapsed="false">
      <c r="D379" s="3" t="s">
        <v>8</v>
      </c>
      <c r="E379" s="48" t="n">
        <f aca="false">P384</f>
        <v>-0.000303973716101002</v>
      </c>
    </row>
    <row r="380" customFormat="false" ht="15" hidden="false" customHeight="false" outlineLevel="0" collapsed="false">
      <c r="D380" s="3" t="s">
        <v>122</v>
      </c>
      <c r="E380" s="49" t="n">
        <f aca="false">I384</f>
        <v>0</v>
      </c>
    </row>
    <row r="381" customFormat="false" ht="15" hidden="false" customHeight="false" outlineLevel="0" collapsed="false">
      <c r="A381" s="31" t="s">
        <v>123</v>
      </c>
    </row>
    <row r="382" customFormat="false" ht="30" hidden="false" customHeight="true" outlineLevel="0" collapsed="false">
      <c r="A382" s="18" t="s">
        <v>71</v>
      </c>
      <c r="B382" s="18" t="s">
        <v>33</v>
      </c>
      <c r="C382" s="18" t="s">
        <v>36</v>
      </c>
      <c r="D382" s="18" t="s">
        <v>60</v>
      </c>
      <c r="E382" s="18" t="s">
        <v>34</v>
      </c>
      <c r="F382" s="18" t="s">
        <v>37</v>
      </c>
      <c r="G382" s="18" t="s">
        <v>61</v>
      </c>
      <c r="H382" s="18" t="s">
        <v>62</v>
      </c>
      <c r="I382" s="18" t="s">
        <v>35</v>
      </c>
      <c r="J382" s="18" t="s">
        <v>38</v>
      </c>
      <c r="K382" s="18" t="s">
        <v>63</v>
      </c>
      <c r="L382" s="18" t="s">
        <v>39</v>
      </c>
      <c r="M382" s="18" t="s">
        <v>64</v>
      </c>
      <c r="N382" s="18" t="s">
        <v>41</v>
      </c>
      <c r="O382" s="18" t="s">
        <v>7</v>
      </c>
      <c r="P382" s="18" t="s">
        <v>8</v>
      </c>
    </row>
    <row r="383" customFormat="false" ht="15" hidden="false" customHeight="false" outlineLevel="0" collapsed="false">
      <c r="A383" s="6" t="s">
        <v>81</v>
      </c>
      <c r="B383" s="33" t="n">
        <v>4000</v>
      </c>
      <c r="C383" s="33" t="n">
        <v>2639830</v>
      </c>
      <c r="D383" s="9" t="n">
        <f aca="false">IF($B383=0,"",$C383/$B383)</f>
        <v>659.9575</v>
      </c>
      <c r="E383" s="33" t="n">
        <v>4000</v>
      </c>
      <c r="F383" s="6" t="n">
        <v>2639997.1</v>
      </c>
      <c r="G383" s="9" t="n">
        <f aca="false">IF($E383=0,"",$F383/$E383)</f>
        <v>659.999275</v>
      </c>
      <c r="H383" s="9" t="n">
        <f aca="false">IF(OR($B383=0,$E383=0),"N/A",$G383-$D383)</f>
        <v>0.0417750000000297</v>
      </c>
      <c r="I383" s="33" t="n">
        <f aca="false">$B383-$E383</f>
        <v>0</v>
      </c>
      <c r="J383" s="9" t="n">
        <f aca="false">$F383-$C383</f>
        <v>167.100000000093</v>
      </c>
      <c r="K383" s="6" t="str">
        <f aca="false">IF($E383=0,"—",IF($G383&gt;=Comm_Slab2_Start,"0.0325% of sell value","0.0175 paisa per share"))</f>
        <v>0.0325% of sell value</v>
      </c>
      <c r="L383" s="9" t="n">
        <f aca="false">IF($E383=0,0,IF($G383&gt;=Comm_Slab2_Start,$F383*Comm_Slab2_Rate,$E383*Comm_Slab1_Paisa/Paisa_Per_PKR))</f>
        <v>857.9990575</v>
      </c>
      <c r="M383" s="9" t="n">
        <f aca="false">$L383*SST_Rate</f>
        <v>111.539877475</v>
      </c>
      <c r="N383" s="9" t="n">
        <f aca="false">$L383+$M383</f>
        <v>969.538934975</v>
      </c>
      <c r="O383" s="9" t="n">
        <f aca="false">$J383-$N383</f>
        <v>-802.438934974907</v>
      </c>
      <c r="P383" s="10" t="n">
        <f aca="false">IF($C383=0,"N/A",$O383/$C383)</f>
        <v>-0.000303973716101002</v>
      </c>
    </row>
    <row r="384" customFormat="false" ht="15" hidden="false" customHeight="false" outlineLevel="0" collapsed="false">
      <c r="A384" s="29" t="s">
        <v>42</v>
      </c>
      <c r="B384" s="50" t="n">
        <f aca="false">SUM(B383)</f>
        <v>4000</v>
      </c>
      <c r="C384" s="50" t="n">
        <f aca="false">SUM(C383)</f>
        <v>2639830</v>
      </c>
      <c r="D384" s="51" t="n">
        <f aca="false">IF($B384=0,"",$C384/$B384)</f>
        <v>659.9575</v>
      </c>
      <c r="E384" s="50" t="n">
        <f aca="false">SUM(E383)</f>
        <v>4000</v>
      </c>
      <c r="F384" s="29" t="n">
        <f aca="false">SUM(F383)</f>
        <v>2639997.1</v>
      </c>
      <c r="G384" s="51" t="n">
        <f aca="false">IF($E384=0,"",$F384/$E384)</f>
        <v>659.999275</v>
      </c>
      <c r="H384" s="51" t="n">
        <f aca="false">IF(OR($B384=0,$E384=0),"N/A",$G384-$D384)</f>
        <v>0.0417750000000297</v>
      </c>
      <c r="I384" s="50" t="n">
        <f aca="false">$B384-$E384</f>
        <v>0</v>
      </c>
      <c r="J384" s="51" t="n">
        <f aca="false">SUM(J383)</f>
        <v>167.100000000093</v>
      </c>
      <c r="K384" s="29"/>
      <c r="L384" s="51" t="n">
        <f aca="false">SUM(L383)</f>
        <v>857.9990575</v>
      </c>
      <c r="M384" s="51" t="n">
        <f aca="false">SUM(M383)</f>
        <v>111.539877475</v>
      </c>
      <c r="N384" s="51" t="n">
        <f aca="false">$L384+$M384</f>
        <v>969.538934975</v>
      </c>
      <c r="O384" s="51" t="n">
        <f aca="false">SUM(O383)</f>
        <v>-802.438934974907</v>
      </c>
      <c r="P384" s="52" t="n">
        <f aca="false">IF($C384=0,"N/A",$O384/$C384)</f>
        <v>-0.000303973716101002</v>
      </c>
    </row>
  </sheetData>
  <conditionalFormatting sqref="J14:J1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N14:O15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P14:P15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E5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E9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E10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conditionalFormatting sqref="J31:J33">
    <cfRule type="cellIs" priority="14" operator="greaterThan" aboveAverage="0" equalAverage="0" bottom="0" percent="0" rank="0" text="" dxfId="0">
      <formula>0</formula>
    </cfRule>
    <cfRule type="cellIs" priority="15" operator="lessThan" aboveAverage="0" equalAverage="0" bottom="0" percent="0" rank="0" text="" dxfId="1">
      <formula>0</formula>
    </cfRule>
  </conditionalFormatting>
  <conditionalFormatting sqref="N31:O33">
    <cfRule type="cellIs" priority="16" operator="greaterThan" aboveAverage="0" equalAverage="0" bottom="0" percent="0" rank="0" text="" dxfId="0">
      <formula>0</formula>
    </cfRule>
    <cfRule type="cellIs" priority="17" operator="lessThan" aboveAverage="0" equalAverage="0" bottom="0" percent="0" rank="0" text="" dxfId="1">
      <formula>0</formula>
    </cfRule>
  </conditionalFormatting>
  <conditionalFormatting sqref="P31:P33">
    <cfRule type="cellIs" priority="18" operator="greaterThan" aboveAverage="0" equalAverage="0" bottom="0" percent="0" rank="0" text="" dxfId="0">
      <formula>0</formula>
    </cfRule>
    <cfRule type="cellIs" priority="19" operator="lessThan" aboveAverage="0" equalAverage="0" bottom="0" percent="0" rank="0" text="" dxfId="1">
      <formula>0</formula>
    </cfRule>
  </conditionalFormatting>
  <conditionalFormatting sqref="E22">
    <cfRule type="cellIs" priority="20" operator="greaterThan" aboveAverage="0" equalAverage="0" bottom="0" percent="0" rank="0" text="" dxfId="0">
      <formula>0</formula>
    </cfRule>
    <cfRule type="cellIs" priority="21" operator="lessThan" aboveAverage="0" equalAverage="0" bottom="0" percent="0" rank="0" text="" dxfId="1">
      <formula>0</formula>
    </cfRule>
  </conditionalFormatting>
  <conditionalFormatting sqref="E26">
    <cfRule type="cellIs" priority="22" operator="greaterThan" aboveAverage="0" equalAverage="0" bottom="0" percent="0" rank="0" text="" dxfId="0">
      <formula>0</formula>
    </cfRule>
    <cfRule type="cellIs" priority="23" operator="lessThan" aboveAverage="0" equalAverage="0" bottom="0" percent="0" rank="0" text="" dxfId="1">
      <formula>0</formula>
    </cfRule>
  </conditionalFormatting>
  <conditionalFormatting sqref="E27">
    <cfRule type="cellIs" priority="24" operator="greaterThan" aboveAverage="0" equalAverage="0" bottom="0" percent="0" rank="0" text="" dxfId="0">
      <formula>0</formula>
    </cfRule>
    <cfRule type="cellIs" priority="25" operator="lessThan" aboveAverage="0" equalAverage="0" bottom="0" percent="0" rank="0" text="" dxfId="1">
      <formula>0</formula>
    </cfRule>
  </conditionalFormatting>
  <conditionalFormatting sqref="J49:J51">
    <cfRule type="cellIs" priority="26" operator="greaterThan" aboveAverage="0" equalAverage="0" bottom="0" percent="0" rank="0" text="" dxfId="0">
      <formula>0</formula>
    </cfRule>
    <cfRule type="cellIs" priority="27" operator="lessThan" aboveAverage="0" equalAverage="0" bottom="0" percent="0" rank="0" text="" dxfId="1">
      <formula>0</formula>
    </cfRule>
  </conditionalFormatting>
  <conditionalFormatting sqref="N49:O51">
    <cfRule type="cellIs" priority="28" operator="greaterThan" aboveAverage="0" equalAverage="0" bottom="0" percent="0" rank="0" text="" dxfId="0">
      <formula>0</formula>
    </cfRule>
    <cfRule type="cellIs" priority="29" operator="lessThan" aboveAverage="0" equalAverage="0" bottom="0" percent="0" rank="0" text="" dxfId="1">
      <formula>0</formula>
    </cfRule>
  </conditionalFormatting>
  <conditionalFormatting sqref="P49:P51">
    <cfRule type="cellIs" priority="30" operator="greaterThan" aboveAverage="0" equalAverage="0" bottom="0" percent="0" rank="0" text="" dxfId="0">
      <formula>0</formula>
    </cfRule>
    <cfRule type="cellIs" priority="31" operator="lessThan" aboveAverage="0" equalAverage="0" bottom="0" percent="0" rank="0" text="" dxfId="1">
      <formula>0</formula>
    </cfRule>
  </conditionalFormatting>
  <conditionalFormatting sqref="E40">
    <cfRule type="cellIs" priority="32" operator="greaterThan" aboveAverage="0" equalAverage="0" bottom="0" percent="0" rank="0" text="" dxfId="0">
      <formula>0</formula>
    </cfRule>
    <cfRule type="cellIs" priority="33" operator="lessThan" aboveAverage="0" equalAverage="0" bottom="0" percent="0" rank="0" text="" dxfId="1">
      <formula>0</formula>
    </cfRule>
  </conditionalFormatting>
  <conditionalFormatting sqref="E44">
    <cfRule type="cellIs" priority="34" operator="greaterThan" aboveAverage="0" equalAverage="0" bottom="0" percent="0" rank="0" text="" dxfId="0">
      <formula>0</formula>
    </cfRule>
    <cfRule type="cellIs" priority="35" operator="lessThan" aboveAverage="0" equalAverage="0" bottom="0" percent="0" rank="0" text="" dxfId="1">
      <formula>0</formula>
    </cfRule>
  </conditionalFormatting>
  <conditionalFormatting sqref="E45">
    <cfRule type="cellIs" priority="36" operator="greaterThan" aboveAverage="0" equalAverage="0" bottom="0" percent="0" rank="0" text="" dxfId="0">
      <formula>0</formula>
    </cfRule>
    <cfRule type="cellIs" priority="37" operator="lessThan" aboveAverage="0" equalAverage="0" bottom="0" percent="0" rank="0" text="" dxfId="1">
      <formula>0</formula>
    </cfRule>
  </conditionalFormatting>
  <conditionalFormatting sqref="J67:J70">
    <cfRule type="cellIs" priority="38" operator="greaterThan" aboveAverage="0" equalAverage="0" bottom="0" percent="0" rank="0" text="" dxfId="0">
      <formula>0</formula>
    </cfRule>
    <cfRule type="cellIs" priority="39" operator="lessThan" aboveAverage="0" equalAverage="0" bottom="0" percent="0" rank="0" text="" dxfId="1">
      <formula>0</formula>
    </cfRule>
  </conditionalFormatting>
  <conditionalFormatting sqref="N67:O70">
    <cfRule type="cellIs" priority="40" operator="greaterThan" aboveAverage="0" equalAverage="0" bottom="0" percent="0" rank="0" text="" dxfId="0">
      <formula>0</formula>
    </cfRule>
    <cfRule type="cellIs" priority="41" operator="lessThan" aboveAverage="0" equalAverage="0" bottom="0" percent="0" rank="0" text="" dxfId="1">
      <formula>0</formula>
    </cfRule>
  </conditionalFormatting>
  <conditionalFormatting sqref="P67:P70">
    <cfRule type="cellIs" priority="42" operator="greaterThan" aboveAverage="0" equalAverage="0" bottom="0" percent="0" rank="0" text="" dxfId="0">
      <formula>0</formula>
    </cfRule>
    <cfRule type="cellIs" priority="43" operator="lessThan" aboveAverage="0" equalAverage="0" bottom="0" percent="0" rank="0" text="" dxfId="1">
      <formula>0</formula>
    </cfRule>
  </conditionalFormatting>
  <conditionalFormatting sqref="E58">
    <cfRule type="cellIs" priority="44" operator="greaterThan" aboveAverage="0" equalAverage="0" bottom="0" percent="0" rank="0" text="" dxfId="0">
      <formula>0</formula>
    </cfRule>
    <cfRule type="cellIs" priority="45" operator="lessThan" aboveAverage="0" equalAverage="0" bottom="0" percent="0" rank="0" text="" dxfId="1">
      <formula>0</formula>
    </cfRule>
  </conditionalFormatting>
  <conditionalFormatting sqref="E62">
    <cfRule type="cellIs" priority="46" operator="greaterThan" aboveAverage="0" equalAverage="0" bottom="0" percent="0" rank="0" text="" dxfId="0">
      <formula>0</formula>
    </cfRule>
    <cfRule type="cellIs" priority="47" operator="lessThan" aboveAverage="0" equalAverage="0" bottom="0" percent="0" rank="0" text="" dxfId="1">
      <formula>0</formula>
    </cfRule>
  </conditionalFormatting>
  <conditionalFormatting sqref="E63">
    <cfRule type="cellIs" priority="48" operator="greaterThan" aboveAverage="0" equalAverage="0" bottom="0" percent="0" rank="0" text="" dxfId="0">
      <formula>0</formula>
    </cfRule>
    <cfRule type="cellIs" priority="49" operator="lessThan" aboveAverage="0" equalAverage="0" bottom="0" percent="0" rank="0" text="" dxfId="1">
      <formula>0</formula>
    </cfRule>
  </conditionalFormatting>
  <conditionalFormatting sqref="J86:J88">
    <cfRule type="cellIs" priority="50" operator="greaterThan" aboveAverage="0" equalAverage="0" bottom="0" percent="0" rank="0" text="" dxfId="0">
      <formula>0</formula>
    </cfRule>
    <cfRule type="cellIs" priority="51" operator="lessThan" aboveAverage="0" equalAverage="0" bottom="0" percent="0" rank="0" text="" dxfId="1">
      <formula>0</formula>
    </cfRule>
  </conditionalFormatting>
  <conditionalFormatting sqref="N86:O88">
    <cfRule type="cellIs" priority="52" operator="greaterThan" aboveAverage="0" equalAverage="0" bottom="0" percent="0" rank="0" text="" dxfId="0">
      <formula>0</formula>
    </cfRule>
    <cfRule type="cellIs" priority="53" operator="lessThan" aboveAverage="0" equalAverage="0" bottom="0" percent="0" rank="0" text="" dxfId="1">
      <formula>0</formula>
    </cfRule>
  </conditionalFormatting>
  <conditionalFormatting sqref="P86:P88">
    <cfRule type="cellIs" priority="54" operator="greaterThan" aboveAverage="0" equalAverage="0" bottom="0" percent="0" rank="0" text="" dxfId="0">
      <formula>0</formula>
    </cfRule>
    <cfRule type="cellIs" priority="55" operator="lessThan" aboveAverage="0" equalAverage="0" bottom="0" percent="0" rank="0" text="" dxfId="1">
      <formula>0</formula>
    </cfRule>
  </conditionalFormatting>
  <conditionalFormatting sqref="E77">
    <cfRule type="cellIs" priority="56" operator="greaterThan" aboveAverage="0" equalAverage="0" bottom="0" percent="0" rank="0" text="" dxfId="0">
      <formula>0</formula>
    </cfRule>
    <cfRule type="cellIs" priority="57" operator="lessThan" aboveAverage="0" equalAverage="0" bottom="0" percent="0" rank="0" text="" dxfId="1">
      <formula>0</formula>
    </cfRule>
  </conditionalFormatting>
  <conditionalFormatting sqref="E81">
    <cfRule type="cellIs" priority="58" operator="greaterThan" aboveAverage="0" equalAverage="0" bottom="0" percent="0" rank="0" text="" dxfId="0">
      <formula>0</formula>
    </cfRule>
    <cfRule type="cellIs" priority="59" operator="lessThan" aboveAverage="0" equalAverage="0" bottom="0" percent="0" rank="0" text="" dxfId="1">
      <formula>0</formula>
    </cfRule>
  </conditionalFormatting>
  <conditionalFormatting sqref="E82">
    <cfRule type="cellIs" priority="60" operator="greaterThan" aboveAverage="0" equalAverage="0" bottom="0" percent="0" rank="0" text="" dxfId="0">
      <formula>0</formula>
    </cfRule>
    <cfRule type="cellIs" priority="61" operator="lessThan" aboveAverage="0" equalAverage="0" bottom="0" percent="0" rank="0" text="" dxfId="1">
      <formula>0</formula>
    </cfRule>
  </conditionalFormatting>
  <conditionalFormatting sqref="J104:J105">
    <cfRule type="cellIs" priority="62" operator="greaterThan" aboveAverage="0" equalAverage="0" bottom="0" percent="0" rank="0" text="" dxfId="0">
      <formula>0</formula>
    </cfRule>
    <cfRule type="cellIs" priority="63" operator="lessThan" aboveAverage="0" equalAverage="0" bottom="0" percent="0" rank="0" text="" dxfId="1">
      <formula>0</formula>
    </cfRule>
  </conditionalFormatting>
  <conditionalFormatting sqref="N104:O105">
    <cfRule type="cellIs" priority="64" operator="greaterThan" aboveAverage="0" equalAverage="0" bottom="0" percent="0" rank="0" text="" dxfId="0">
      <formula>0</formula>
    </cfRule>
    <cfRule type="cellIs" priority="65" operator="lessThan" aboveAverage="0" equalAverage="0" bottom="0" percent="0" rank="0" text="" dxfId="1">
      <formula>0</formula>
    </cfRule>
  </conditionalFormatting>
  <conditionalFormatting sqref="P104:P105">
    <cfRule type="cellIs" priority="66" operator="greaterThan" aboveAverage="0" equalAverage="0" bottom="0" percent="0" rank="0" text="" dxfId="0">
      <formula>0</formula>
    </cfRule>
    <cfRule type="cellIs" priority="67" operator="lessThan" aboveAverage="0" equalAverage="0" bottom="0" percent="0" rank="0" text="" dxfId="1">
      <formula>0</formula>
    </cfRule>
  </conditionalFormatting>
  <conditionalFormatting sqref="E95">
    <cfRule type="cellIs" priority="68" operator="greaterThan" aboveAverage="0" equalAverage="0" bottom="0" percent="0" rank="0" text="" dxfId="0">
      <formula>0</formula>
    </cfRule>
    <cfRule type="cellIs" priority="69" operator="lessThan" aboveAverage="0" equalAverage="0" bottom="0" percent="0" rank="0" text="" dxfId="1">
      <formula>0</formula>
    </cfRule>
  </conditionalFormatting>
  <conditionalFormatting sqref="E99">
    <cfRule type="cellIs" priority="70" operator="greaterThan" aboveAverage="0" equalAverage="0" bottom="0" percent="0" rank="0" text="" dxfId="0">
      <formula>0</formula>
    </cfRule>
    <cfRule type="cellIs" priority="71" operator="lessThan" aboveAverage="0" equalAverage="0" bottom="0" percent="0" rank="0" text="" dxfId="1">
      <formula>0</formula>
    </cfRule>
  </conditionalFormatting>
  <conditionalFormatting sqref="E100">
    <cfRule type="cellIs" priority="72" operator="greaterThan" aboveAverage="0" equalAverage="0" bottom="0" percent="0" rank="0" text="" dxfId="0">
      <formula>0</formula>
    </cfRule>
    <cfRule type="cellIs" priority="73" operator="lessThan" aboveAverage="0" equalAverage="0" bottom="0" percent="0" rank="0" text="" dxfId="1">
      <formula>0</formula>
    </cfRule>
  </conditionalFormatting>
  <conditionalFormatting sqref="J121:J124">
    <cfRule type="cellIs" priority="74" operator="greaterThan" aboveAverage="0" equalAverage="0" bottom="0" percent="0" rank="0" text="" dxfId="0">
      <formula>0</formula>
    </cfRule>
    <cfRule type="cellIs" priority="75" operator="lessThan" aboveAverage="0" equalAverage="0" bottom="0" percent="0" rank="0" text="" dxfId="1">
      <formula>0</formula>
    </cfRule>
  </conditionalFormatting>
  <conditionalFormatting sqref="N121:O124">
    <cfRule type="cellIs" priority="76" operator="greaterThan" aboveAverage="0" equalAverage="0" bottom="0" percent="0" rank="0" text="" dxfId="0">
      <formula>0</formula>
    </cfRule>
    <cfRule type="cellIs" priority="77" operator="lessThan" aboveAverage="0" equalAverage="0" bottom="0" percent="0" rank="0" text="" dxfId="1">
      <formula>0</formula>
    </cfRule>
  </conditionalFormatting>
  <conditionalFormatting sqref="P121:P124">
    <cfRule type="cellIs" priority="78" operator="greaterThan" aboveAverage="0" equalAverage="0" bottom="0" percent="0" rank="0" text="" dxfId="0">
      <formula>0</formula>
    </cfRule>
    <cfRule type="cellIs" priority="79" operator="lessThan" aboveAverage="0" equalAverage="0" bottom="0" percent="0" rank="0" text="" dxfId="1">
      <formula>0</formula>
    </cfRule>
  </conditionalFormatting>
  <conditionalFormatting sqref="E112">
    <cfRule type="cellIs" priority="80" operator="greaterThan" aboveAverage="0" equalAverage="0" bottom="0" percent="0" rank="0" text="" dxfId="0">
      <formula>0</formula>
    </cfRule>
    <cfRule type="cellIs" priority="81" operator="lessThan" aboveAverage="0" equalAverage="0" bottom="0" percent="0" rank="0" text="" dxfId="1">
      <formula>0</formula>
    </cfRule>
  </conditionalFormatting>
  <conditionalFormatting sqref="E116">
    <cfRule type="cellIs" priority="82" operator="greaterThan" aboveAverage="0" equalAverage="0" bottom="0" percent="0" rank="0" text="" dxfId="0">
      <formula>0</formula>
    </cfRule>
    <cfRule type="cellIs" priority="83" operator="lessThan" aboveAverage="0" equalAverage="0" bottom="0" percent="0" rank="0" text="" dxfId="1">
      <formula>0</formula>
    </cfRule>
  </conditionalFormatting>
  <conditionalFormatting sqref="E117">
    <cfRule type="cellIs" priority="84" operator="greaterThan" aboveAverage="0" equalAverage="0" bottom="0" percent="0" rank="0" text="" dxfId="0">
      <formula>0</formula>
    </cfRule>
    <cfRule type="cellIs" priority="85" operator="lessThan" aboveAverage="0" equalAverage="0" bottom="0" percent="0" rank="0" text="" dxfId="1">
      <formula>0</formula>
    </cfRule>
  </conditionalFormatting>
  <conditionalFormatting sqref="J140:J149">
    <cfRule type="cellIs" priority="86" operator="greaterThan" aboveAverage="0" equalAverage="0" bottom="0" percent="0" rank="0" text="" dxfId="0">
      <formula>0</formula>
    </cfRule>
    <cfRule type="cellIs" priority="87" operator="lessThan" aboveAverage="0" equalAverage="0" bottom="0" percent="0" rank="0" text="" dxfId="1">
      <formula>0</formula>
    </cfRule>
  </conditionalFormatting>
  <conditionalFormatting sqref="N140:O149">
    <cfRule type="cellIs" priority="88" operator="greaterThan" aboveAverage="0" equalAverage="0" bottom="0" percent="0" rank="0" text="" dxfId="0">
      <formula>0</formula>
    </cfRule>
    <cfRule type="cellIs" priority="89" operator="lessThan" aboveAverage="0" equalAverage="0" bottom="0" percent="0" rank="0" text="" dxfId="1">
      <formula>0</formula>
    </cfRule>
  </conditionalFormatting>
  <conditionalFormatting sqref="P140:P149">
    <cfRule type="cellIs" priority="90" operator="greaterThan" aboveAverage="0" equalAverage="0" bottom="0" percent="0" rank="0" text="" dxfId="0">
      <formula>0</formula>
    </cfRule>
    <cfRule type="cellIs" priority="91" operator="lessThan" aboveAverage="0" equalAverage="0" bottom="0" percent="0" rank="0" text="" dxfId="1">
      <formula>0</formula>
    </cfRule>
  </conditionalFormatting>
  <conditionalFormatting sqref="E131">
    <cfRule type="cellIs" priority="92" operator="greaterThan" aboveAverage="0" equalAverage="0" bottom="0" percent="0" rank="0" text="" dxfId="0">
      <formula>0</formula>
    </cfRule>
    <cfRule type="cellIs" priority="93" operator="lessThan" aboveAverage="0" equalAverage="0" bottom="0" percent="0" rank="0" text="" dxfId="1">
      <formula>0</formula>
    </cfRule>
  </conditionalFormatting>
  <conditionalFormatting sqref="E135">
    <cfRule type="cellIs" priority="94" operator="greaterThan" aboveAverage="0" equalAverage="0" bottom="0" percent="0" rank="0" text="" dxfId="0">
      <formula>0</formula>
    </cfRule>
    <cfRule type="cellIs" priority="95" operator="lessThan" aboveAverage="0" equalAverage="0" bottom="0" percent="0" rank="0" text="" dxfId="1">
      <formula>0</formula>
    </cfRule>
  </conditionalFormatting>
  <conditionalFormatting sqref="E136">
    <cfRule type="cellIs" priority="96" operator="greaterThan" aboveAverage="0" equalAverage="0" bottom="0" percent="0" rank="0" text="" dxfId="0">
      <formula>0</formula>
    </cfRule>
    <cfRule type="cellIs" priority="97" operator="lessThan" aboveAverage="0" equalAverage="0" bottom="0" percent="0" rank="0" text="" dxfId="1">
      <formula>0</formula>
    </cfRule>
  </conditionalFormatting>
  <conditionalFormatting sqref="J165:J172">
    <cfRule type="cellIs" priority="98" operator="greaterThan" aboveAverage="0" equalAverage="0" bottom="0" percent="0" rank="0" text="" dxfId="0">
      <formula>0</formula>
    </cfRule>
    <cfRule type="cellIs" priority="99" operator="lessThan" aboveAverage="0" equalAverage="0" bottom="0" percent="0" rank="0" text="" dxfId="1">
      <formula>0</formula>
    </cfRule>
  </conditionalFormatting>
  <conditionalFormatting sqref="N165:O172">
    <cfRule type="cellIs" priority="100" operator="greaterThan" aboveAverage="0" equalAverage="0" bottom="0" percent="0" rank="0" text="" dxfId="0">
      <formula>0</formula>
    </cfRule>
    <cfRule type="cellIs" priority="101" operator="lessThan" aboveAverage="0" equalAverage="0" bottom="0" percent="0" rank="0" text="" dxfId="1">
      <formula>0</formula>
    </cfRule>
  </conditionalFormatting>
  <conditionalFormatting sqref="P165:P172">
    <cfRule type="cellIs" priority="102" operator="greaterThan" aboveAverage="0" equalAverage="0" bottom="0" percent="0" rank="0" text="" dxfId="0">
      <formula>0</formula>
    </cfRule>
    <cfRule type="cellIs" priority="103" operator="lessThan" aboveAverage="0" equalAverage="0" bottom="0" percent="0" rank="0" text="" dxfId="1">
      <formula>0</formula>
    </cfRule>
  </conditionalFormatting>
  <conditionalFormatting sqref="E156">
    <cfRule type="cellIs" priority="104" operator="greaterThan" aboveAverage="0" equalAverage="0" bottom="0" percent="0" rank="0" text="" dxfId="0">
      <formula>0</formula>
    </cfRule>
    <cfRule type="cellIs" priority="105" operator="lessThan" aboveAverage="0" equalAverage="0" bottom="0" percent="0" rank="0" text="" dxfId="1">
      <formula>0</formula>
    </cfRule>
  </conditionalFormatting>
  <conditionalFormatting sqref="E160">
    <cfRule type="cellIs" priority="106" operator="greaterThan" aboveAverage="0" equalAverage="0" bottom="0" percent="0" rank="0" text="" dxfId="0">
      <formula>0</formula>
    </cfRule>
    <cfRule type="cellIs" priority="107" operator="lessThan" aboveAverage="0" equalAverage="0" bottom="0" percent="0" rank="0" text="" dxfId="1">
      <formula>0</formula>
    </cfRule>
  </conditionalFormatting>
  <conditionalFormatting sqref="E161">
    <cfRule type="cellIs" priority="108" operator="greaterThan" aboveAverage="0" equalAverage="0" bottom="0" percent="0" rank="0" text="" dxfId="0">
      <formula>0</formula>
    </cfRule>
    <cfRule type="cellIs" priority="109" operator="lessThan" aboveAverage="0" equalAverage="0" bottom="0" percent="0" rank="0" text="" dxfId="1">
      <formula>0</formula>
    </cfRule>
  </conditionalFormatting>
  <conditionalFormatting sqref="J188:J189">
    <cfRule type="cellIs" priority="110" operator="greaterThan" aboveAverage="0" equalAverage="0" bottom="0" percent="0" rank="0" text="" dxfId="0">
      <formula>0</formula>
    </cfRule>
    <cfRule type="cellIs" priority="111" operator="lessThan" aboveAverage="0" equalAverage="0" bottom="0" percent="0" rank="0" text="" dxfId="1">
      <formula>0</formula>
    </cfRule>
  </conditionalFormatting>
  <conditionalFormatting sqref="N188:O189">
    <cfRule type="cellIs" priority="112" operator="greaterThan" aboveAverage="0" equalAverage="0" bottom="0" percent="0" rank="0" text="" dxfId="0">
      <formula>0</formula>
    </cfRule>
    <cfRule type="cellIs" priority="113" operator="lessThan" aboveAverage="0" equalAverage="0" bottom="0" percent="0" rank="0" text="" dxfId="1">
      <formula>0</formula>
    </cfRule>
  </conditionalFormatting>
  <conditionalFormatting sqref="P188:P189">
    <cfRule type="cellIs" priority="114" operator="greaterThan" aboveAverage="0" equalAverage="0" bottom="0" percent="0" rank="0" text="" dxfId="0">
      <formula>0</formula>
    </cfRule>
    <cfRule type="cellIs" priority="115" operator="lessThan" aboveAverage="0" equalAverage="0" bottom="0" percent="0" rank="0" text="" dxfId="1">
      <formula>0</formula>
    </cfRule>
  </conditionalFormatting>
  <conditionalFormatting sqref="E179">
    <cfRule type="cellIs" priority="116" operator="greaterThan" aboveAverage="0" equalAverage="0" bottom="0" percent="0" rank="0" text="" dxfId="0">
      <formula>0</formula>
    </cfRule>
    <cfRule type="cellIs" priority="117" operator="lessThan" aboveAverage="0" equalAverage="0" bottom="0" percent="0" rank="0" text="" dxfId="1">
      <formula>0</formula>
    </cfRule>
  </conditionalFormatting>
  <conditionalFormatting sqref="E183">
    <cfRule type="cellIs" priority="118" operator="greaterThan" aboveAverage="0" equalAverage="0" bottom="0" percent="0" rank="0" text="" dxfId="0">
      <formula>0</formula>
    </cfRule>
    <cfRule type="cellIs" priority="119" operator="lessThan" aboveAverage="0" equalAverage="0" bottom="0" percent="0" rank="0" text="" dxfId="1">
      <formula>0</formula>
    </cfRule>
  </conditionalFormatting>
  <conditionalFormatting sqref="E184">
    <cfRule type="cellIs" priority="120" operator="greaterThan" aboveAverage="0" equalAverage="0" bottom="0" percent="0" rank="0" text="" dxfId="0">
      <formula>0</formula>
    </cfRule>
    <cfRule type="cellIs" priority="121" operator="lessThan" aboveAverage="0" equalAverage="0" bottom="0" percent="0" rank="0" text="" dxfId="1">
      <formula>0</formula>
    </cfRule>
  </conditionalFormatting>
  <conditionalFormatting sqref="J205:J210">
    <cfRule type="cellIs" priority="122" operator="greaterThan" aboveAverage="0" equalAverage="0" bottom="0" percent="0" rank="0" text="" dxfId="0">
      <formula>0</formula>
    </cfRule>
    <cfRule type="cellIs" priority="123" operator="lessThan" aboveAverage="0" equalAverage="0" bottom="0" percent="0" rank="0" text="" dxfId="1">
      <formula>0</formula>
    </cfRule>
  </conditionalFormatting>
  <conditionalFormatting sqref="N205:O210">
    <cfRule type="cellIs" priority="124" operator="greaterThan" aboveAverage="0" equalAverage="0" bottom="0" percent="0" rank="0" text="" dxfId="0">
      <formula>0</formula>
    </cfRule>
    <cfRule type="cellIs" priority="125" operator="lessThan" aboveAverage="0" equalAverage="0" bottom="0" percent="0" rank="0" text="" dxfId="1">
      <formula>0</formula>
    </cfRule>
  </conditionalFormatting>
  <conditionalFormatting sqref="P205:P210">
    <cfRule type="cellIs" priority="126" operator="greaterThan" aboveAverage="0" equalAverage="0" bottom="0" percent="0" rank="0" text="" dxfId="0">
      <formula>0</formula>
    </cfRule>
    <cfRule type="cellIs" priority="127" operator="lessThan" aboveAverage="0" equalAverage="0" bottom="0" percent="0" rank="0" text="" dxfId="1">
      <formula>0</formula>
    </cfRule>
  </conditionalFormatting>
  <conditionalFormatting sqref="E196">
    <cfRule type="cellIs" priority="128" operator="greaterThan" aboveAverage="0" equalAverage="0" bottom="0" percent="0" rank="0" text="" dxfId="0">
      <formula>0</formula>
    </cfRule>
    <cfRule type="cellIs" priority="129" operator="lessThan" aboveAverage="0" equalAverage="0" bottom="0" percent="0" rank="0" text="" dxfId="1">
      <formula>0</formula>
    </cfRule>
  </conditionalFormatting>
  <conditionalFormatting sqref="E200">
    <cfRule type="cellIs" priority="130" operator="greaterThan" aboveAverage="0" equalAverage="0" bottom="0" percent="0" rank="0" text="" dxfId="0">
      <formula>0</formula>
    </cfRule>
    <cfRule type="cellIs" priority="131" operator="lessThan" aboveAverage="0" equalAverage="0" bottom="0" percent="0" rank="0" text="" dxfId="1">
      <formula>0</formula>
    </cfRule>
  </conditionalFormatting>
  <conditionalFormatting sqref="E201">
    <cfRule type="cellIs" priority="132" operator="greaterThan" aboveAverage="0" equalAverage="0" bottom="0" percent="0" rank="0" text="" dxfId="0">
      <formula>0</formula>
    </cfRule>
    <cfRule type="cellIs" priority="133" operator="lessThan" aboveAverage="0" equalAverage="0" bottom="0" percent="0" rank="0" text="" dxfId="1">
      <formula>0</formula>
    </cfRule>
  </conditionalFormatting>
  <conditionalFormatting sqref="J226:J227">
    <cfRule type="cellIs" priority="134" operator="greaterThan" aboveAverage="0" equalAverage="0" bottom="0" percent="0" rank="0" text="" dxfId="0">
      <formula>0</formula>
    </cfRule>
    <cfRule type="cellIs" priority="135" operator="lessThan" aboveAverage="0" equalAverage="0" bottom="0" percent="0" rank="0" text="" dxfId="1">
      <formula>0</formula>
    </cfRule>
  </conditionalFormatting>
  <conditionalFormatting sqref="N226:O227">
    <cfRule type="cellIs" priority="136" operator="greaterThan" aboveAverage="0" equalAverage="0" bottom="0" percent="0" rank="0" text="" dxfId="0">
      <formula>0</formula>
    </cfRule>
    <cfRule type="cellIs" priority="137" operator="lessThan" aboveAverage="0" equalAverage="0" bottom="0" percent="0" rank="0" text="" dxfId="1">
      <formula>0</formula>
    </cfRule>
  </conditionalFormatting>
  <conditionalFormatting sqref="P226:P227">
    <cfRule type="cellIs" priority="138" operator="greaterThan" aboveAverage="0" equalAverage="0" bottom="0" percent="0" rank="0" text="" dxfId="0">
      <formula>0</formula>
    </cfRule>
    <cfRule type="cellIs" priority="139" operator="lessThan" aboveAverage="0" equalAverage="0" bottom="0" percent="0" rank="0" text="" dxfId="1">
      <formula>0</formula>
    </cfRule>
  </conditionalFormatting>
  <conditionalFormatting sqref="E217">
    <cfRule type="cellIs" priority="140" operator="greaterThan" aboveAverage="0" equalAverage="0" bottom="0" percent="0" rank="0" text="" dxfId="0">
      <formula>0</formula>
    </cfRule>
    <cfRule type="cellIs" priority="141" operator="lessThan" aboveAverage="0" equalAverage="0" bottom="0" percent="0" rank="0" text="" dxfId="1">
      <formula>0</formula>
    </cfRule>
  </conditionalFormatting>
  <conditionalFormatting sqref="E221">
    <cfRule type="cellIs" priority="142" operator="greaterThan" aboveAverage="0" equalAverage="0" bottom="0" percent="0" rank="0" text="" dxfId="0">
      <formula>0</formula>
    </cfRule>
    <cfRule type="cellIs" priority="143" operator="lessThan" aboveAverage="0" equalAverage="0" bottom="0" percent="0" rank="0" text="" dxfId="1">
      <formula>0</formula>
    </cfRule>
  </conditionalFormatting>
  <conditionalFormatting sqref="E222">
    <cfRule type="cellIs" priority="144" operator="greaterThan" aboveAverage="0" equalAverage="0" bottom="0" percent="0" rank="0" text="" dxfId="0">
      <formula>0</formula>
    </cfRule>
    <cfRule type="cellIs" priority="145" operator="lessThan" aboveAverage="0" equalAverage="0" bottom="0" percent="0" rank="0" text="" dxfId="1">
      <formula>0</formula>
    </cfRule>
  </conditionalFormatting>
  <conditionalFormatting sqref="J243:J248">
    <cfRule type="cellIs" priority="146" operator="greaterThan" aboveAverage="0" equalAverage="0" bottom="0" percent="0" rank="0" text="" dxfId="0">
      <formula>0</formula>
    </cfRule>
    <cfRule type="cellIs" priority="147" operator="lessThan" aboveAverage="0" equalAverage="0" bottom="0" percent="0" rank="0" text="" dxfId="1">
      <formula>0</formula>
    </cfRule>
  </conditionalFormatting>
  <conditionalFormatting sqref="N243:O248">
    <cfRule type="cellIs" priority="148" operator="greaterThan" aboveAverage="0" equalAverage="0" bottom="0" percent="0" rank="0" text="" dxfId="0">
      <formula>0</formula>
    </cfRule>
    <cfRule type="cellIs" priority="149" operator="lessThan" aboveAverage="0" equalAverage="0" bottom="0" percent="0" rank="0" text="" dxfId="1">
      <formula>0</formula>
    </cfRule>
  </conditionalFormatting>
  <conditionalFormatting sqref="P243:P248">
    <cfRule type="cellIs" priority="150" operator="greaterThan" aboveAverage="0" equalAverage="0" bottom="0" percent="0" rank="0" text="" dxfId="0">
      <formula>0</formula>
    </cfRule>
    <cfRule type="cellIs" priority="151" operator="lessThan" aboveAverage="0" equalAverage="0" bottom="0" percent="0" rank="0" text="" dxfId="1">
      <formula>0</formula>
    </cfRule>
  </conditionalFormatting>
  <conditionalFormatting sqref="E234">
    <cfRule type="cellIs" priority="152" operator="greaterThan" aboveAverage="0" equalAverage="0" bottom="0" percent="0" rank="0" text="" dxfId="0">
      <formula>0</formula>
    </cfRule>
    <cfRule type="cellIs" priority="153" operator="lessThan" aboveAverage="0" equalAverage="0" bottom="0" percent="0" rank="0" text="" dxfId="1">
      <formula>0</formula>
    </cfRule>
  </conditionalFormatting>
  <conditionalFormatting sqref="E238">
    <cfRule type="cellIs" priority="154" operator="greaterThan" aboveAverage="0" equalAverage="0" bottom="0" percent="0" rank="0" text="" dxfId="0">
      <formula>0</formula>
    </cfRule>
    <cfRule type="cellIs" priority="155" operator="lessThan" aboveAverage="0" equalAverage="0" bottom="0" percent="0" rank="0" text="" dxfId="1">
      <formula>0</formula>
    </cfRule>
  </conditionalFormatting>
  <conditionalFormatting sqref="E239">
    <cfRule type="cellIs" priority="156" operator="greaterThan" aboveAverage="0" equalAverage="0" bottom="0" percent="0" rank="0" text="" dxfId="0">
      <formula>0</formula>
    </cfRule>
    <cfRule type="cellIs" priority="157" operator="lessThan" aboveAverage="0" equalAverage="0" bottom="0" percent="0" rank="0" text="" dxfId="1">
      <formula>0</formula>
    </cfRule>
  </conditionalFormatting>
  <conditionalFormatting sqref="J264:J272">
    <cfRule type="cellIs" priority="158" operator="greaterThan" aboveAverage="0" equalAverage="0" bottom="0" percent="0" rank="0" text="" dxfId="0">
      <formula>0</formula>
    </cfRule>
    <cfRule type="cellIs" priority="159" operator="lessThan" aboveAverage="0" equalAverage="0" bottom="0" percent="0" rank="0" text="" dxfId="1">
      <formula>0</formula>
    </cfRule>
  </conditionalFormatting>
  <conditionalFormatting sqref="N264:O272">
    <cfRule type="cellIs" priority="160" operator="greaterThan" aboveAverage="0" equalAverage="0" bottom="0" percent="0" rank="0" text="" dxfId="0">
      <formula>0</formula>
    </cfRule>
    <cfRule type="cellIs" priority="161" operator="lessThan" aboveAverage="0" equalAverage="0" bottom="0" percent="0" rank="0" text="" dxfId="1">
      <formula>0</formula>
    </cfRule>
  </conditionalFormatting>
  <conditionalFormatting sqref="P264:P272">
    <cfRule type="cellIs" priority="162" operator="greaterThan" aboveAverage="0" equalAverage="0" bottom="0" percent="0" rank="0" text="" dxfId="0">
      <formula>0</formula>
    </cfRule>
    <cfRule type="cellIs" priority="163" operator="lessThan" aboveAverage="0" equalAverage="0" bottom="0" percent="0" rank="0" text="" dxfId="1">
      <formula>0</formula>
    </cfRule>
  </conditionalFormatting>
  <conditionalFormatting sqref="E255">
    <cfRule type="cellIs" priority="164" operator="greaterThan" aboveAverage="0" equalAverage="0" bottom="0" percent="0" rank="0" text="" dxfId="0">
      <formula>0</formula>
    </cfRule>
    <cfRule type="cellIs" priority="165" operator="lessThan" aboveAverage="0" equalAverage="0" bottom="0" percent="0" rank="0" text="" dxfId="1">
      <formula>0</formula>
    </cfRule>
  </conditionalFormatting>
  <conditionalFormatting sqref="E259">
    <cfRule type="cellIs" priority="166" operator="greaterThan" aboveAverage="0" equalAverage="0" bottom="0" percent="0" rank="0" text="" dxfId="0">
      <formula>0</formula>
    </cfRule>
    <cfRule type="cellIs" priority="167" operator="lessThan" aboveAverage="0" equalAverage="0" bottom="0" percent="0" rank="0" text="" dxfId="1">
      <formula>0</formula>
    </cfRule>
  </conditionalFormatting>
  <conditionalFormatting sqref="E260">
    <cfRule type="cellIs" priority="168" operator="greaterThan" aboveAverage="0" equalAverage="0" bottom="0" percent="0" rank="0" text="" dxfId="0">
      <formula>0</formula>
    </cfRule>
    <cfRule type="cellIs" priority="169" operator="lessThan" aboveAverage="0" equalAverage="0" bottom="0" percent="0" rank="0" text="" dxfId="1">
      <formula>0</formula>
    </cfRule>
  </conditionalFormatting>
  <conditionalFormatting sqref="J288:J291">
    <cfRule type="cellIs" priority="170" operator="greaterThan" aboveAverage="0" equalAverage="0" bottom="0" percent="0" rank="0" text="" dxfId="0">
      <formula>0</formula>
    </cfRule>
    <cfRule type="cellIs" priority="171" operator="lessThan" aboveAverage="0" equalAverage="0" bottom="0" percent="0" rank="0" text="" dxfId="1">
      <formula>0</formula>
    </cfRule>
  </conditionalFormatting>
  <conditionalFormatting sqref="N288:O291">
    <cfRule type="cellIs" priority="172" operator="greaterThan" aboveAverage="0" equalAverage="0" bottom="0" percent="0" rank="0" text="" dxfId="0">
      <formula>0</formula>
    </cfRule>
    <cfRule type="cellIs" priority="173" operator="lessThan" aboveAverage="0" equalAverage="0" bottom="0" percent="0" rank="0" text="" dxfId="1">
      <formula>0</formula>
    </cfRule>
  </conditionalFormatting>
  <conditionalFormatting sqref="P288:P291">
    <cfRule type="cellIs" priority="174" operator="greaterThan" aboveAverage="0" equalAverage="0" bottom="0" percent="0" rank="0" text="" dxfId="0">
      <formula>0</formula>
    </cfRule>
    <cfRule type="cellIs" priority="175" operator="lessThan" aboveAverage="0" equalAverage="0" bottom="0" percent="0" rank="0" text="" dxfId="1">
      <formula>0</formula>
    </cfRule>
  </conditionalFormatting>
  <conditionalFormatting sqref="E279">
    <cfRule type="cellIs" priority="176" operator="greaterThan" aboveAverage="0" equalAverage="0" bottom="0" percent="0" rank="0" text="" dxfId="0">
      <formula>0</formula>
    </cfRule>
    <cfRule type="cellIs" priority="177" operator="lessThan" aboveAverage="0" equalAverage="0" bottom="0" percent="0" rank="0" text="" dxfId="1">
      <formula>0</formula>
    </cfRule>
  </conditionalFormatting>
  <conditionalFormatting sqref="E283">
    <cfRule type="cellIs" priority="178" operator="greaterThan" aboveAverage="0" equalAverage="0" bottom="0" percent="0" rank="0" text="" dxfId="0">
      <formula>0</formula>
    </cfRule>
    <cfRule type="cellIs" priority="179" operator="lessThan" aboveAverage="0" equalAverage="0" bottom="0" percent="0" rank="0" text="" dxfId="1">
      <formula>0</formula>
    </cfRule>
  </conditionalFormatting>
  <conditionalFormatting sqref="E284">
    <cfRule type="cellIs" priority="180" operator="greaterThan" aboveAverage="0" equalAverage="0" bottom="0" percent="0" rank="0" text="" dxfId="0">
      <formula>0</formula>
    </cfRule>
    <cfRule type="cellIs" priority="181" operator="lessThan" aboveAverage="0" equalAverage="0" bottom="0" percent="0" rank="0" text="" dxfId="1">
      <formula>0</formula>
    </cfRule>
  </conditionalFormatting>
  <conditionalFormatting sqref="J307:J308">
    <cfRule type="cellIs" priority="182" operator="greaterThan" aboveAverage="0" equalAverage="0" bottom="0" percent="0" rank="0" text="" dxfId="0">
      <formula>0</formula>
    </cfRule>
    <cfRule type="cellIs" priority="183" operator="lessThan" aboveAverage="0" equalAverage="0" bottom="0" percent="0" rank="0" text="" dxfId="1">
      <formula>0</formula>
    </cfRule>
  </conditionalFormatting>
  <conditionalFormatting sqref="N307:O308">
    <cfRule type="cellIs" priority="184" operator="greaterThan" aboveAverage="0" equalAverage="0" bottom="0" percent="0" rank="0" text="" dxfId="0">
      <formula>0</formula>
    </cfRule>
    <cfRule type="cellIs" priority="185" operator="lessThan" aboveAverage="0" equalAverage="0" bottom="0" percent="0" rank="0" text="" dxfId="1">
      <formula>0</formula>
    </cfRule>
  </conditionalFormatting>
  <conditionalFormatting sqref="P307:P308">
    <cfRule type="cellIs" priority="186" operator="greaterThan" aboveAverage="0" equalAverage="0" bottom="0" percent="0" rank="0" text="" dxfId="0">
      <formula>0</formula>
    </cfRule>
    <cfRule type="cellIs" priority="187" operator="lessThan" aboveAverage="0" equalAverage="0" bottom="0" percent="0" rank="0" text="" dxfId="1">
      <formula>0</formula>
    </cfRule>
  </conditionalFormatting>
  <conditionalFormatting sqref="E298">
    <cfRule type="cellIs" priority="188" operator="greaterThan" aboveAverage="0" equalAverage="0" bottom="0" percent="0" rank="0" text="" dxfId="0">
      <formula>0</formula>
    </cfRule>
    <cfRule type="cellIs" priority="189" operator="lessThan" aboveAverage="0" equalAverage="0" bottom="0" percent="0" rank="0" text="" dxfId="1">
      <formula>0</formula>
    </cfRule>
  </conditionalFormatting>
  <conditionalFormatting sqref="E302">
    <cfRule type="cellIs" priority="190" operator="greaterThan" aboveAverage="0" equalAverage="0" bottom="0" percent="0" rank="0" text="" dxfId="0">
      <formula>0</formula>
    </cfRule>
    <cfRule type="cellIs" priority="191" operator="lessThan" aboveAverage="0" equalAverage="0" bottom="0" percent="0" rank="0" text="" dxfId="1">
      <formula>0</formula>
    </cfRule>
  </conditionalFormatting>
  <conditionalFormatting sqref="E303">
    <cfRule type="cellIs" priority="192" operator="greaterThan" aboveAverage="0" equalAverage="0" bottom="0" percent="0" rank="0" text="" dxfId="0">
      <formula>0</formula>
    </cfRule>
    <cfRule type="cellIs" priority="193" operator="lessThan" aboveAverage="0" equalAverage="0" bottom="0" percent="0" rank="0" text="" dxfId="1">
      <formula>0</formula>
    </cfRule>
  </conditionalFormatting>
  <conditionalFormatting sqref="J324:J325">
    <cfRule type="cellIs" priority="194" operator="greaterThan" aboveAverage="0" equalAverage="0" bottom="0" percent="0" rank="0" text="" dxfId="0">
      <formula>0</formula>
    </cfRule>
    <cfRule type="cellIs" priority="195" operator="lessThan" aboveAverage="0" equalAverage="0" bottom="0" percent="0" rank="0" text="" dxfId="1">
      <formula>0</formula>
    </cfRule>
  </conditionalFormatting>
  <conditionalFormatting sqref="N324:O325">
    <cfRule type="cellIs" priority="196" operator="greaterThan" aboveAverage="0" equalAverage="0" bottom="0" percent="0" rank="0" text="" dxfId="0">
      <formula>0</formula>
    </cfRule>
    <cfRule type="cellIs" priority="197" operator="lessThan" aboveAverage="0" equalAverage="0" bottom="0" percent="0" rank="0" text="" dxfId="1">
      <formula>0</formula>
    </cfRule>
  </conditionalFormatting>
  <conditionalFormatting sqref="P324:P325">
    <cfRule type="cellIs" priority="198" operator="greaterThan" aboveAverage="0" equalAverage="0" bottom="0" percent="0" rank="0" text="" dxfId="0">
      <formula>0</formula>
    </cfRule>
    <cfRule type="cellIs" priority="199" operator="lessThan" aboveAverage="0" equalAverage="0" bottom="0" percent="0" rank="0" text="" dxfId="1">
      <formula>0</formula>
    </cfRule>
  </conditionalFormatting>
  <conditionalFormatting sqref="E315">
    <cfRule type="cellIs" priority="200" operator="greaterThan" aboveAverage="0" equalAverage="0" bottom="0" percent="0" rank="0" text="" dxfId="0">
      <formula>0</formula>
    </cfRule>
    <cfRule type="cellIs" priority="201" operator="lessThan" aboveAverage="0" equalAverage="0" bottom="0" percent="0" rank="0" text="" dxfId="1">
      <formula>0</formula>
    </cfRule>
  </conditionalFormatting>
  <conditionalFormatting sqref="E319">
    <cfRule type="cellIs" priority="202" operator="greaterThan" aboveAverage="0" equalAverage="0" bottom="0" percent="0" rank="0" text="" dxfId="0">
      <formula>0</formula>
    </cfRule>
    <cfRule type="cellIs" priority="203" operator="lessThan" aboveAverage="0" equalAverage="0" bottom="0" percent="0" rank="0" text="" dxfId="1">
      <formula>0</formula>
    </cfRule>
  </conditionalFormatting>
  <conditionalFormatting sqref="E320">
    <cfRule type="cellIs" priority="204" operator="greaterThan" aboveAverage="0" equalAverage="0" bottom="0" percent="0" rank="0" text="" dxfId="0">
      <formula>0</formula>
    </cfRule>
    <cfRule type="cellIs" priority="205" operator="lessThan" aboveAverage="0" equalAverage="0" bottom="0" percent="0" rank="0" text="" dxfId="1">
      <formula>0</formula>
    </cfRule>
  </conditionalFormatting>
  <conditionalFormatting sqref="J341:J344">
    <cfRule type="cellIs" priority="206" operator="greaterThan" aboveAverage="0" equalAverage="0" bottom="0" percent="0" rank="0" text="" dxfId="0">
      <formula>0</formula>
    </cfRule>
    <cfRule type="cellIs" priority="207" operator="lessThan" aboveAverage="0" equalAverage="0" bottom="0" percent="0" rank="0" text="" dxfId="1">
      <formula>0</formula>
    </cfRule>
  </conditionalFormatting>
  <conditionalFormatting sqref="N341:O344">
    <cfRule type="cellIs" priority="208" operator="greaterThan" aboveAverage="0" equalAverage="0" bottom="0" percent="0" rank="0" text="" dxfId="0">
      <formula>0</formula>
    </cfRule>
    <cfRule type="cellIs" priority="209" operator="lessThan" aboveAverage="0" equalAverage="0" bottom="0" percent="0" rank="0" text="" dxfId="1">
      <formula>0</formula>
    </cfRule>
  </conditionalFormatting>
  <conditionalFormatting sqref="P341:P344">
    <cfRule type="cellIs" priority="210" operator="greaterThan" aboveAverage="0" equalAverage="0" bottom="0" percent="0" rank="0" text="" dxfId="0">
      <formula>0</formula>
    </cfRule>
    <cfRule type="cellIs" priority="211" operator="lessThan" aboveAverage="0" equalAverage="0" bottom="0" percent="0" rank="0" text="" dxfId="1">
      <formula>0</formula>
    </cfRule>
  </conditionalFormatting>
  <conditionalFormatting sqref="E332">
    <cfRule type="cellIs" priority="212" operator="greaterThan" aboveAverage="0" equalAverage="0" bottom="0" percent="0" rank="0" text="" dxfId="0">
      <formula>0</formula>
    </cfRule>
    <cfRule type="cellIs" priority="213" operator="lessThan" aboveAverage="0" equalAverage="0" bottom="0" percent="0" rank="0" text="" dxfId="1">
      <formula>0</formula>
    </cfRule>
  </conditionalFormatting>
  <conditionalFormatting sqref="E336">
    <cfRule type="cellIs" priority="214" operator="greaterThan" aboveAverage="0" equalAverage="0" bottom="0" percent="0" rank="0" text="" dxfId="0">
      <formula>0</formula>
    </cfRule>
    <cfRule type="cellIs" priority="215" operator="lessThan" aboveAverage="0" equalAverage="0" bottom="0" percent="0" rank="0" text="" dxfId="1">
      <formula>0</formula>
    </cfRule>
  </conditionalFormatting>
  <conditionalFormatting sqref="E337">
    <cfRule type="cellIs" priority="216" operator="greaterThan" aboveAverage="0" equalAverage="0" bottom="0" percent="0" rank="0" text="" dxfId="0">
      <formula>0</formula>
    </cfRule>
    <cfRule type="cellIs" priority="217" operator="lessThan" aboveAverage="0" equalAverage="0" bottom="0" percent="0" rank="0" text="" dxfId="1">
      <formula>0</formula>
    </cfRule>
  </conditionalFormatting>
  <conditionalFormatting sqref="J360:J367">
    <cfRule type="cellIs" priority="218" operator="greaterThan" aboveAverage="0" equalAverage="0" bottom="0" percent="0" rank="0" text="" dxfId="0">
      <formula>0</formula>
    </cfRule>
    <cfRule type="cellIs" priority="219" operator="lessThan" aboveAverage="0" equalAverage="0" bottom="0" percent="0" rank="0" text="" dxfId="1">
      <formula>0</formula>
    </cfRule>
  </conditionalFormatting>
  <conditionalFormatting sqref="N360:O367">
    <cfRule type="cellIs" priority="220" operator="greaterThan" aboveAverage="0" equalAverage="0" bottom="0" percent="0" rank="0" text="" dxfId="0">
      <formula>0</formula>
    </cfRule>
    <cfRule type="cellIs" priority="221" operator="lessThan" aboveAverage="0" equalAverage="0" bottom="0" percent="0" rank="0" text="" dxfId="1">
      <formula>0</formula>
    </cfRule>
  </conditionalFormatting>
  <conditionalFormatting sqref="P360:P367">
    <cfRule type="cellIs" priority="222" operator="greaterThan" aboveAverage="0" equalAverage="0" bottom="0" percent="0" rank="0" text="" dxfId="0">
      <formula>0</formula>
    </cfRule>
    <cfRule type="cellIs" priority="223" operator="lessThan" aboveAverage="0" equalAverage="0" bottom="0" percent="0" rank="0" text="" dxfId="1">
      <formula>0</formula>
    </cfRule>
  </conditionalFormatting>
  <conditionalFormatting sqref="E351">
    <cfRule type="cellIs" priority="224" operator="greaterThan" aboveAverage="0" equalAverage="0" bottom="0" percent="0" rank="0" text="" dxfId="0">
      <formula>0</formula>
    </cfRule>
    <cfRule type="cellIs" priority="225" operator="lessThan" aboveAverage="0" equalAverage="0" bottom="0" percent="0" rank="0" text="" dxfId="1">
      <formula>0</formula>
    </cfRule>
  </conditionalFormatting>
  <conditionalFormatting sqref="E355">
    <cfRule type="cellIs" priority="226" operator="greaterThan" aboveAverage="0" equalAverage="0" bottom="0" percent="0" rank="0" text="" dxfId="0">
      <formula>0</formula>
    </cfRule>
    <cfRule type="cellIs" priority="227" operator="lessThan" aboveAverage="0" equalAverage="0" bottom="0" percent="0" rank="0" text="" dxfId="1">
      <formula>0</formula>
    </cfRule>
  </conditionalFormatting>
  <conditionalFormatting sqref="E356">
    <cfRule type="cellIs" priority="228" operator="greaterThan" aboveAverage="0" equalAverage="0" bottom="0" percent="0" rank="0" text="" dxfId="0">
      <formula>0</formula>
    </cfRule>
    <cfRule type="cellIs" priority="229" operator="lessThan" aboveAverage="0" equalAverage="0" bottom="0" percent="0" rank="0" text="" dxfId="1">
      <formula>0</formula>
    </cfRule>
  </conditionalFormatting>
  <conditionalFormatting sqref="J383:J384">
    <cfRule type="cellIs" priority="230" operator="greaterThan" aboveAverage="0" equalAverage="0" bottom="0" percent="0" rank="0" text="" dxfId="0">
      <formula>0</formula>
    </cfRule>
    <cfRule type="cellIs" priority="231" operator="lessThan" aboveAverage="0" equalAverage="0" bottom="0" percent="0" rank="0" text="" dxfId="1">
      <formula>0</formula>
    </cfRule>
  </conditionalFormatting>
  <conditionalFormatting sqref="N383:O384">
    <cfRule type="cellIs" priority="232" operator="greaterThan" aboveAverage="0" equalAverage="0" bottom="0" percent="0" rank="0" text="" dxfId="0">
      <formula>0</formula>
    </cfRule>
    <cfRule type="cellIs" priority="233" operator="lessThan" aboveAverage="0" equalAverage="0" bottom="0" percent="0" rank="0" text="" dxfId="1">
      <formula>0</formula>
    </cfRule>
  </conditionalFormatting>
  <conditionalFormatting sqref="P383:P384">
    <cfRule type="cellIs" priority="234" operator="greaterThan" aboveAverage="0" equalAverage="0" bottom="0" percent="0" rank="0" text="" dxfId="0">
      <formula>0</formula>
    </cfRule>
    <cfRule type="cellIs" priority="235" operator="lessThan" aboveAverage="0" equalAverage="0" bottom="0" percent="0" rank="0" text="" dxfId="1">
      <formula>0</formula>
    </cfRule>
  </conditionalFormatting>
  <conditionalFormatting sqref="E374">
    <cfRule type="cellIs" priority="236" operator="greaterThan" aboveAverage="0" equalAverage="0" bottom="0" percent="0" rank="0" text="" dxfId="0">
      <formula>0</formula>
    </cfRule>
    <cfRule type="cellIs" priority="237" operator="lessThan" aboveAverage="0" equalAverage="0" bottom="0" percent="0" rank="0" text="" dxfId="1">
      <formula>0</formula>
    </cfRule>
  </conditionalFormatting>
  <conditionalFormatting sqref="E378">
    <cfRule type="cellIs" priority="238" operator="greaterThan" aboveAverage="0" equalAverage="0" bottom="0" percent="0" rank="0" text="" dxfId="0">
      <formula>0</formula>
    </cfRule>
    <cfRule type="cellIs" priority="239" operator="lessThan" aboveAverage="0" equalAverage="0" bottom="0" percent="0" rank="0" text="" dxfId="1">
      <formula>0</formula>
    </cfRule>
  </conditionalFormatting>
  <conditionalFormatting sqref="E379">
    <cfRule type="cellIs" priority="240" operator="greaterThan" aboveAverage="0" equalAverage="0" bottom="0" percent="0" rank="0" text="" dxfId="0">
      <formula>0</formula>
    </cfRule>
    <cfRule type="cellIs" priority="241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66"/>
  </cols>
  <sheetData>
    <row r="1" customFormat="false" ht="19.7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30" hidden="false" customHeight="true" outlineLevel="0" collapsed="false">
      <c r="A4" s="18" t="s">
        <v>166</v>
      </c>
      <c r="B4" s="18" t="s">
        <v>50</v>
      </c>
      <c r="C4" s="18" t="s">
        <v>167</v>
      </c>
    </row>
    <row r="5" customFormat="false" ht="15" hidden="false" customHeight="false" outlineLevel="0" collapsed="false">
      <c r="A5" s="6" t="s">
        <v>168</v>
      </c>
      <c r="B5" s="53" t="n">
        <v>53.99999</v>
      </c>
      <c r="C5" s="6" t="s">
        <v>169</v>
      </c>
    </row>
    <row r="6" customFormat="false" ht="15" hidden="false" customHeight="false" outlineLevel="0" collapsed="false">
      <c r="A6" s="6" t="s">
        <v>170</v>
      </c>
      <c r="B6" s="54" t="n">
        <v>0.0175</v>
      </c>
      <c r="C6" s="6" t="s">
        <v>171</v>
      </c>
    </row>
    <row r="7" customFormat="false" ht="15" hidden="false" customHeight="false" outlineLevel="0" collapsed="false">
      <c r="A7" s="6" t="s">
        <v>172</v>
      </c>
      <c r="B7" s="53" t="n">
        <v>54</v>
      </c>
      <c r="C7" s="6" t="s">
        <v>173</v>
      </c>
    </row>
    <row r="8" customFormat="false" ht="15" hidden="false" customHeight="false" outlineLevel="0" collapsed="false">
      <c r="A8" s="6" t="s">
        <v>174</v>
      </c>
      <c r="B8" s="55" t="n">
        <v>0.000325</v>
      </c>
      <c r="C8" s="6" t="s">
        <v>175</v>
      </c>
    </row>
    <row r="9" customFormat="false" ht="15" hidden="false" customHeight="false" outlineLevel="0" collapsed="false">
      <c r="A9" s="6" t="s">
        <v>176</v>
      </c>
      <c r="B9" s="56" t="n">
        <v>0.13</v>
      </c>
      <c r="C9" s="6" t="s">
        <v>177</v>
      </c>
    </row>
    <row r="10" customFormat="false" ht="15" hidden="false" customHeight="false" outlineLevel="0" collapsed="false">
      <c r="A10" s="6" t="s">
        <v>178</v>
      </c>
      <c r="B10" s="57" t="n">
        <v>100</v>
      </c>
      <c r="C10" s="6" t="s">
        <v>179</v>
      </c>
    </row>
    <row r="11" customFormat="false" ht="15" hidden="false" customHeight="false" outlineLevel="0" collapsed="false">
      <c r="A11" s="6" t="s">
        <v>180</v>
      </c>
      <c r="B11" s="58" t="s">
        <v>118</v>
      </c>
      <c r="C11" s="6" t="s">
        <v>181</v>
      </c>
    </row>
    <row r="12" customFormat="false" ht="15" hidden="false" customHeight="false" outlineLevel="0" collapsed="false">
      <c r="A12" s="6" t="s">
        <v>182</v>
      </c>
      <c r="B12" s="58" t="s">
        <v>183</v>
      </c>
      <c r="C12" s="6" t="s">
        <v>184</v>
      </c>
    </row>
    <row r="15" customFormat="false" ht="15" hidden="false" customHeight="false" outlineLevel="0" collapsed="false">
      <c r="A15" s="31" t="s">
        <v>185</v>
      </c>
    </row>
    <row r="16" customFormat="false" ht="15" hidden="false" customHeight="false" outlineLevel="0" collapsed="false">
      <c r="A16" s="59" t="s">
        <v>186</v>
      </c>
    </row>
    <row r="17" customFormat="false" ht="15" hidden="false" customHeight="false" outlineLevel="0" collapsed="false">
      <c r="A17" s="59" t="s">
        <v>187</v>
      </c>
    </row>
    <row r="18" customFormat="false" ht="15" hidden="false" customHeight="false" outlineLevel="0" collapsed="false">
      <c r="A18" s="59" t="s">
        <v>188</v>
      </c>
    </row>
    <row r="19" customFormat="false" ht="15" hidden="false" customHeight="false" outlineLevel="0" collapsed="false">
      <c r="A19" s="59" t="s">
        <v>189</v>
      </c>
    </row>
    <row r="20" customFormat="false" ht="15" hidden="false" customHeight="false" outlineLevel="0" collapsed="false">
      <c r="A20" s="59" t="s">
        <v>190</v>
      </c>
    </row>
    <row r="21" customFormat="false" ht="15" hidden="false" customHeight="false" outlineLevel="0" collapsed="false">
      <c r="A21" s="59" t="s">
        <v>191</v>
      </c>
    </row>
    <row r="22" customFormat="false" ht="15" hidden="false" customHeight="false" outlineLevel="0" collapsed="false">
      <c r="A22" s="59" t="s">
        <v>192</v>
      </c>
    </row>
    <row r="23" customFormat="false" ht="15" hidden="false" customHeight="false" outlineLevel="0" collapsed="false">
      <c r="A23" s="59" t="s">
        <v>193</v>
      </c>
    </row>
    <row r="24" customFormat="false" ht="15" hidden="false" customHeight="false" outlineLevel="0" collapsed="false">
      <c r="A24" s="59" t="s">
        <v>194</v>
      </c>
    </row>
    <row r="25" customFormat="false" ht="15" hidden="false" customHeight="false" outlineLevel="0" collapsed="false">
      <c r="A25" s="59" t="s">
        <v>195</v>
      </c>
    </row>
    <row r="26" customFormat="false" ht="15" hidden="false" customHeight="false" outlineLevel="0" collapsed="false">
      <c r="A26" s="59" t="s">
        <v>196</v>
      </c>
    </row>
    <row r="27" customFormat="false" ht="15" hidden="false" customHeight="false" outlineLevel="0" collapsed="false">
      <c r="A27" s="59" t="s">
        <v>197</v>
      </c>
    </row>
    <row r="28" customFormat="false" ht="15" hidden="false" customHeight="false" outlineLevel="0" collapsed="false">
      <c r="A28" s="59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2026-10-15T10:36:25Z</dcterms:created>
  <dc:creator>Trading Analysis Assistant</dc:creator>
  <dc:description/>
  <dc:language>en-US</dc:language>
  <cp:lastModifiedBy/>
  <dcterms:modified xsi:type="dcterms:W3CDTF">2026-10-15T10:36:25Z</dcterms:modified>
  <cp:revision>0</cp:revision>
  <dc:subject/>
  <dc:title>Trade Summary, Profit, Commission &amp; Tax Tracker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